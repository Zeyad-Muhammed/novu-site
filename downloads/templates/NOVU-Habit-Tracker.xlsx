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Year" sheetId="3" state="visible" r:id="rId3"/>
    <sheet xmlns:r="http://schemas.openxmlformats.org/officeDocument/2006/relationships" name="Jan" sheetId="4" state="visible" r:id="rId4"/>
    <sheet xmlns:r="http://schemas.openxmlformats.org/officeDocument/2006/relationships" name="Feb" sheetId="5" state="visible" r:id="rId5"/>
    <sheet xmlns:r="http://schemas.openxmlformats.org/officeDocument/2006/relationships" name="Mar" sheetId="6" state="visible" r:id="rId6"/>
    <sheet xmlns:r="http://schemas.openxmlformats.org/officeDocument/2006/relationships" name="Apr" sheetId="7" state="visible" r:id="rId7"/>
    <sheet xmlns:r="http://schemas.openxmlformats.org/officeDocument/2006/relationships" name="May" sheetId="8" state="visible" r:id="rId8"/>
    <sheet xmlns:r="http://schemas.openxmlformats.org/officeDocument/2006/relationships" name="Jun" sheetId="9" state="visible" r:id="rId9"/>
    <sheet xmlns:r="http://schemas.openxmlformats.org/officeDocument/2006/relationships" name="Jul" sheetId="10" state="visible" r:id="rId10"/>
    <sheet xmlns:r="http://schemas.openxmlformats.org/officeDocument/2006/relationships" name="Aug" sheetId="11" state="visible" r:id="rId11"/>
    <sheet xmlns:r="http://schemas.openxmlformats.org/officeDocument/2006/relationships" name="Sep" sheetId="12" state="visible" r:id="rId12"/>
    <sheet xmlns:r="http://schemas.openxmlformats.org/officeDocument/2006/relationships" name="Oct" sheetId="13" state="visible" r:id="rId13"/>
    <sheet xmlns:r="http://schemas.openxmlformats.org/officeDocument/2006/relationships" name="Nov" sheetId="14" state="visible" r:id="rId14"/>
    <sheet xmlns:r="http://schemas.openxmlformats.org/officeDocument/2006/relationships" name="Dec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"/>
    <numFmt numFmtId="165" formatCode="0%;-0%;&quot;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34D399"/>
      <sz val="9"/>
    </font>
    <font>
      <name val="Arial"/>
      <b val="1"/>
      <color rgb="0034D399"/>
      <sz val="14"/>
    </font>
    <font>
      <name val="Arial"/>
      <b val="1"/>
      <color rgb="000B0F17"/>
      <sz val="12"/>
    </font>
    <font>
      <name val="Arial"/>
      <b val="1"/>
      <color rgb="00111827"/>
      <sz val="10"/>
    </font>
    <font>
      <name val="Arial"/>
      <color rgb="00374151"/>
      <sz val="10"/>
    </font>
    <font>
      <name val="Arial"/>
      <color rgb="00111827"/>
      <sz val="10"/>
    </font>
    <font>
      <name val="Arial"/>
      <i val="1"/>
      <color rgb="006B7280"/>
      <sz val="9"/>
    </font>
    <font>
      <name val="Arial"/>
      <b val="1"/>
      <color rgb="00111827"/>
      <sz val="11"/>
    </font>
    <font>
      <name val="Arial"/>
      <b val="1"/>
      <color rgb="00FFFFFF"/>
      <sz val="10"/>
    </font>
    <font>
      <name val="Arial"/>
      <color rgb="00374151"/>
      <sz val="9"/>
    </font>
    <font>
      <name val="Arial"/>
      <b val="1"/>
      <color rgb="000B0F17"/>
      <sz val="9"/>
    </font>
    <font>
      <name val="Arial"/>
      <color rgb="006B7280"/>
      <sz val="9"/>
    </font>
    <font>
      <name val="Arial"/>
      <b val="1"/>
      <color rgb="00FFFFFF"/>
      <sz val="9"/>
    </font>
    <font>
      <name val="Arial"/>
      <b val="1"/>
      <color rgb="006B7280"/>
      <sz val="9"/>
    </font>
    <font>
      <name val="Arial"/>
      <color rgb="006B7280"/>
      <sz val="7"/>
    </font>
  </fonts>
  <fills count="7">
    <fill>
      <patternFill/>
    </fill>
    <fill>
      <patternFill patternType="gray125"/>
    </fill>
    <fill>
      <patternFill patternType="solid">
        <fgColor rgb="000B0F17"/>
        <bgColor rgb="000B0F17"/>
      </patternFill>
    </fill>
    <fill>
      <patternFill patternType="solid">
        <fgColor rgb="00E1F8F0"/>
        <bgColor rgb="00E1F8F0"/>
      </patternFill>
    </fill>
    <fill>
      <patternFill patternType="solid">
        <fgColor rgb="00151B26"/>
        <bgColor rgb="00151B26"/>
      </patternFill>
    </fill>
    <fill>
      <patternFill patternType="solid">
        <fgColor rgb="00F8FAFC"/>
        <bgColor rgb="00F8FAFC"/>
      </patternFill>
    </fill>
    <fill>
      <patternFill patternType="solid">
        <fgColor rgb="00F1FCF8"/>
        <bgColor rgb="00F1FCF8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bottom style="medium">
        <color rgb="0034D39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top" inden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3" borderId="1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3" borderId="1" applyAlignment="1" pivotButton="0" quotePrefix="0" xfId="0">
      <alignment horizontal="center"/>
    </xf>
    <xf numFmtId="0" fontId="10" fillId="4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7" fillId="3" borderId="1" applyAlignment="1" pivotButton="0" quotePrefix="0" xfId="0">
      <alignment horizontal="center"/>
    </xf>
    <xf numFmtId="0" fontId="11" fillId="0" borderId="0" pivotButton="0" quotePrefix="0" xfId="0"/>
    <xf numFmtId="0" fontId="7" fillId="0" borderId="1" applyAlignment="1" pivotButton="0" quotePrefix="0" xfId="0">
      <alignment vertical="center"/>
    </xf>
    <xf numFmtId="165" fontId="7" fillId="0" borderId="1" applyAlignment="1" pivotButton="0" quotePrefix="0" xfId="0">
      <alignment horizontal="center"/>
    </xf>
    <xf numFmtId="9" fontId="5" fillId="6" borderId="0" applyAlignment="1" pivotButton="0" quotePrefix="0" xfId="0">
      <alignment horizontal="center"/>
    </xf>
    <xf numFmtId="0" fontId="5" fillId="5" borderId="0" pivotButton="0" quotePrefix="0" xfId="0"/>
    <xf numFmtId="164" fontId="12" fillId="5" borderId="0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  <xf numFmtId="0" fontId="0" fillId="5" borderId="0" pivotButton="0" quotePrefix="0" xfId="0"/>
    <xf numFmtId="0" fontId="13" fillId="5" borderId="0" applyAlignment="1" pivotButton="0" quotePrefix="0" xfId="0">
      <alignment horizontal="center"/>
    </xf>
    <xf numFmtId="0" fontId="0" fillId="4" borderId="0" pivotButton="0" quotePrefix="0" xfId="0"/>
    <xf numFmtId="0" fontId="7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15" fillId="0" borderId="0" pivotButton="0" quotePrefix="0" xfId="0"/>
    <xf numFmtId="9" fontId="16" fillId="0" borderId="0" applyAlignment="1" pivotButton="0" quotePrefix="0" xfId="0">
      <alignment horizontal="center"/>
    </xf>
    <xf numFmtId="9" fontId="5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E5E7EB"/>
          <bgColor rgb="00E5E7EB"/>
        </patternFill>
      </fill>
    </dxf>
    <dxf>
      <font>
        <name val="Arial"/>
        <b val="1"/>
        <color rgb="000B0F17"/>
      </font>
      <fill>
        <patternFill patternType="solid">
          <fgColor rgb="0034D399"/>
          <bgColor rgb="0034D3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consistency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8000">
              <a:solidFill>
                <a:srgbClr val="0596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'Year'!$C$4:$N$4</f>
            </numRef>
          </cat>
          <val>
            <numRef>
              <f>'Year'!$C$20:$N$20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34D399"/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0" customWidth="1" min="3" max="3"/>
    <col width="4" customWidth="1" min="4" max="4"/>
  </cols>
  <sheetData>
    <row r="1" ht="30" customHeight="1">
      <c r="A1" s="1" t="inlineStr">
        <is>
          <t>NOVU  ·  Habit Tracker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One sheet per month, one tap per habit. Watch your consistency grow all year.</t>
        </is>
      </c>
      <c r="B2" s="2" t="n"/>
      <c r="C2" s="2" t="n"/>
      <c r="D2" s="2" t="n"/>
      <c r="E2" s="2" t="n"/>
      <c r="F2" s="2" t="n"/>
      <c r="G2" s="2" t="n"/>
      <c r="H2" s="2" t="n"/>
    </row>
    <row r="4">
      <c r="B4" s="4" t="inlineStr">
        <is>
          <t>متتبع العادات</t>
        </is>
      </c>
    </row>
    <row r="6">
      <c r="B6" s="5" t="inlineStr">
        <is>
          <t>How to use</t>
        </is>
      </c>
    </row>
    <row r="7" ht="30" customHeight="1">
      <c r="B7" s="6" t="inlineStr">
        <is>
          <t>1.  Setup</t>
        </is>
      </c>
      <c r="C7" s="7" t="inlineStr">
        <is>
          <t>Type the year and list up to 15 habits. They appear automatically on every month.</t>
        </is>
      </c>
    </row>
    <row r="8" ht="30" customHeight="1">
      <c r="B8" s="6" t="inlineStr">
        <is>
          <t>2.  Months</t>
        </is>
      </c>
      <c r="C8" s="7" t="inlineStr">
        <is>
          <t>Open the current month and mark a habit as done with ✓ (pick it from the dropdown, or type x).</t>
        </is>
      </c>
    </row>
    <row r="9" ht="30" customHeight="1">
      <c r="B9" s="6" t="inlineStr">
        <is>
          <t>3.  Progress</t>
        </is>
      </c>
      <c r="C9" s="7" t="inlineStr">
        <is>
          <t>Each habit shows days done and a completion rate; the bottom row shows how complete each day was.</t>
        </is>
      </c>
    </row>
    <row r="10" ht="30" customHeight="1">
      <c r="B10" s="6" t="inlineStr">
        <is>
          <t>4.  Year</t>
        </is>
      </c>
      <c r="C10" s="7" t="inlineStr">
        <is>
          <t>A heat map of every habit across all 12 months.</t>
        </is>
      </c>
    </row>
    <row r="12">
      <c r="B12" s="5" t="inlineStr">
        <is>
          <t>Legend</t>
        </is>
      </c>
    </row>
    <row r="13">
      <c r="B13" s="8" t="inlineStr">
        <is>
          <t>Type here</t>
        </is>
      </c>
      <c r="C13" s="9" t="inlineStr">
        <is>
          <t>Tinted cells are inputs. Everything else calculates on its own — please don't type over it.</t>
        </is>
      </c>
    </row>
    <row r="14" ht="30" customHeight="1">
      <c r="B14" s="10" t="inlineStr">
        <is>
          <t>Formula</t>
        </is>
      </c>
      <c r="C14" s="7" t="inlineStr">
        <is>
          <t>Dates, weekdays, totals, completion rates and the year heat map are formulas. October has a few sample marks — clear them when you start.</t>
        </is>
      </c>
    </row>
    <row r="16">
      <c r="B16" s="11" t="inlineStr">
        <is>
          <t>Made by NOVU  ·  Private by design. Your data stays in this file.</t>
        </is>
      </c>
    </row>
    <row r="17">
      <c r="B17" s="11" t="inlineStr">
        <is>
          <t>Works in Microsoft Excel 2010+, Google Sheets and LibreOffice.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34D399"/>
    <outlinePr summaryBelow="1" summaryRight="1"/>
    <pageSetUpPr fitToPage="1"/>
  </sheetPr>
  <dimension ref="A1:E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3" customWidth="1" min="4" max="4"/>
    <col width="50" customWidth="1" min="5" max="5"/>
  </cols>
  <sheetData>
    <row r="1" ht="30" customHeight="1">
      <c r="A1" s="1" t="inlineStr">
        <is>
          <t>Setup</t>
        </is>
      </c>
      <c r="B1" s="2" t="n"/>
      <c r="C1" s="2" t="n"/>
      <c r="D1" s="2" t="n"/>
      <c r="E1" s="2" t="n"/>
    </row>
    <row r="2" ht="20" customHeight="1">
      <c r="A2" s="3" t="inlineStr">
        <is>
          <t>Year and habits  ·  السنة والعادات</t>
        </is>
      </c>
      <c r="B2" s="2" t="n"/>
      <c r="C2" s="2" t="n"/>
      <c r="D2" s="2" t="n"/>
      <c r="E2" s="2" t="n"/>
    </row>
    <row r="4">
      <c r="B4" s="12" t="inlineStr">
        <is>
          <t>Year</t>
        </is>
      </c>
      <c r="C4" s="13" t="n">
        <v>2026</v>
      </c>
    </row>
    <row r="6" ht="24" customHeight="1">
      <c r="B6" s="14" t="inlineStr">
        <is>
          <t>Habit</t>
        </is>
      </c>
      <c r="C6" s="14" t="inlineStr">
        <is>
          <t>Goal (days / month)</t>
        </is>
      </c>
      <c r="E6" s="12" t="inlineStr">
        <is>
          <t>Tips</t>
        </is>
      </c>
    </row>
    <row r="7">
      <c r="B7" s="15" t="inlineStr">
        <is>
          <t>Pray Fajr on time</t>
        </is>
      </c>
      <c r="C7" s="16" t="n">
        <v>30</v>
      </c>
      <c r="E7" s="17" t="inlineStr">
        <is>
          <t>•  Start small: 3–5 habits beat 15 you won't keep.</t>
        </is>
      </c>
    </row>
    <row r="8">
      <c r="B8" s="15" t="inlineStr">
        <is>
          <t>Morning adhkar</t>
        </is>
      </c>
      <c r="C8" s="16" t="n">
        <v>30</v>
      </c>
      <c r="E8" s="17" t="inlineStr">
        <is>
          <t>•  The goal is how many days a month you aim for — rest days are fine.</t>
        </is>
      </c>
    </row>
    <row r="9">
      <c r="B9" s="15" t="inlineStr">
        <is>
          <t>Read 1 page of Quran</t>
        </is>
      </c>
      <c r="C9" s="16" t="n">
        <v>30</v>
      </c>
      <c r="E9" s="17" t="inlineStr">
        <is>
          <t>•  Changing a habit name here updates every month.</t>
        </is>
      </c>
    </row>
    <row r="10">
      <c r="B10" s="15" t="inlineStr">
        <is>
          <t>Drink 8 glasses of water</t>
        </is>
      </c>
      <c r="C10" s="16" t="n">
        <v>25</v>
      </c>
    </row>
    <row r="11">
      <c r="B11" s="15" t="inlineStr">
        <is>
          <t>Exercise 20 minutes</t>
        </is>
      </c>
      <c r="C11" s="16" t="n">
        <v>16</v>
      </c>
    </row>
    <row r="12">
      <c r="B12" s="15" t="inlineStr">
        <is>
          <t>Read 10 pages</t>
        </is>
      </c>
      <c r="C12" s="16" t="n">
        <v>20</v>
      </c>
    </row>
    <row r="13">
      <c r="B13" s="15" t="inlineStr">
        <is>
          <t>No social media before 10am</t>
        </is>
      </c>
      <c r="C13" s="16" t="n">
        <v>20</v>
      </c>
    </row>
    <row r="14">
      <c r="B14" s="15" t="inlineStr">
        <is>
          <t>Evening adhkar</t>
        </is>
      </c>
      <c r="C14" s="16" t="n">
        <v>30</v>
      </c>
    </row>
    <row r="15">
      <c r="B15" s="15" t="inlineStr">
        <is>
          <t>Learn something new</t>
        </is>
      </c>
      <c r="C15" s="16" t="n">
        <v>12</v>
      </c>
    </row>
    <row r="16">
      <c r="B16" s="15" t="inlineStr">
        <is>
          <t>Sleep before midnight</t>
        </is>
      </c>
      <c r="C16" s="16" t="n">
        <v>22</v>
      </c>
    </row>
    <row r="17">
      <c r="B17" s="15" t="n"/>
      <c r="C17" s="16" t="n"/>
    </row>
    <row r="18">
      <c r="B18" s="15" t="n"/>
      <c r="C18" s="16" t="n"/>
    </row>
    <row r="19">
      <c r="B19" s="15" t="n"/>
      <c r="C19" s="16" t="n"/>
    </row>
    <row r="20">
      <c r="B20" s="15" t="n"/>
      <c r="C20" s="16" t="n"/>
    </row>
    <row r="21">
      <c r="B21" s="15" t="n"/>
      <c r="C21" s="16" t="n"/>
    </row>
  </sheetData>
  <dataValidations count="1">
    <dataValidation sqref="C7:C21" showDropDown="0" showInputMessage="0" showErrorMessage="0" allowBlank="1" type="whole" operator="between">
      <formula1>0</formula1>
      <formula2>31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34D399"/>
    <outlinePr summaryBelow="1" summaryRight="1"/>
    <pageSetUpPr fitToPage="1"/>
  </sheetPr>
  <dimension ref="A1:O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9" customWidth="1" min="15" max="15"/>
  </cols>
  <sheetData>
    <row r="1" ht="30" customHeight="1">
      <c r="A1" s="1" t="inlineStr">
        <is>
          <t>Year at a glance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0" customHeight="1">
      <c r="A2" s="3" t="inlineStr">
        <is>
          <t>Completion rate per habit per month  ·  السنة كاملة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4" ht="24" customHeight="1">
      <c r="B4" s="14" t="inlineStr">
        <is>
          <t>Habit</t>
        </is>
      </c>
      <c r="C4" s="14" t="inlineStr">
        <is>
          <t>Jan</t>
        </is>
      </c>
      <c r="D4" s="14" t="inlineStr">
        <is>
          <t>Feb</t>
        </is>
      </c>
      <c r="E4" s="14" t="inlineStr">
        <is>
          <t>Mar</t>
        </is>
      </c>
      <c r="F4" s="14" t="inlineStr">
        <is>
          <t>Apr</t>
        </is>
      </c>
      <c r="G4" s="14" t="inlineStr">
        <is>
          <t>May</t>
        </is>
      </c>
      <c r="H4" s="14" t="inlineStr">
        <is>
          <t>Jun</t>
        </is>
      </c>
      <c r="I4" s="14" t="inlineStr">
        <is>
          <t>Jul</t>
        </is>
      </c>
      <c r="J4" s="14" t="inlineStr">
        <is>
          <t>Aug</t>
        </is>
      </c>
      <c r="K4" s="14" t="inlineStr">
        <is>
          <t>Sep</t>
        </is>
      </c>
      <c r="L4" s="14" t="inlineStr">
        <is>
          <t>Oct</t>
        </is>
      </c>
      <c r="M4" s="14" t="inlineStr">
        <is>
          <t>Nov</t>
        </is>
      </c>
      <c r="N4" s="14" t="inlineStr">
        <is>
          <t>Dec</t>
        </is>
      </c>
      <c r="O4" s="14" t="inlineStr">
        <is>
          <t>Year</t>
        </is>
      </c>
    </row>
    <row r="5">
      <c r="B5" s="18">
        <f>IF(Setup!B7="","",Setup!B7)</f>
        <v/>
      </c>
      <c r="C5" s="19">
        <f>IF($B5="","",Jan!AJ6)</f>
        <v/>
      </c>
      <c r="D5" s="19">
        <f>IF($B5="","",Feb!AJ6)</f>
        <v/>
      </c>
      <c r="E5" s="19">
        <f>IF($B5="","",Mar!AJ6)</f>
        <v/>
      </c>
      <c r="F5" s="19">
        <f>IF($B5="","",Apr!AJ6)</f>
        <v/>
      </c>
      <c r="G5" s="19">
        <f>IF($B5="","",May!AJ6)</f>
        <v/>
      </c>
      <c r="H5" s="19">
        <f>IF($B5="","",Jun!AJ6)</f>
        <v/>
      </c>
      <c r="I5" s="19">
        <f>IF($B5="","",Jul!AJ6)</f>
        <v/>
      </c>
      <c r="J5" s="19">
        <f>IF($B5="","",Aug!AJ6)</f>
        <v/>
      </c>
      <c r="K5" s="19">
        <f>IF($B5="","",Sep!AJ6)</f>
        <v/>
      </c>
      <c r="L5" s="19">
        <f>IF($B5="","",Oct!AJ6)</f>
        <v/>
      </c>
      <c r="M5" s="19">
        <f>IF($B5="","",Nov!AJ6)</f>
        <v/>
      </c>
      <c r="N5" s="19">
        <f>IF($B5="","",Dec!AJ6)</f>
        <v/>
      </c>
      <c r="O5" s="19">
        <f>IF(B5="","",(N(Jan!AH6)+N(Feb!AH6)+N(Mar!AH6)+N(Apr!AH6)+N(May!AH6)+N(Jun!AH6)+N(Jul!AH6)+N(Aug!AH6)+N(Sep!AH6)+N(Oct!AH6)+N(Nov!AH6)+N(Dec!AH6))/(DATE(Setup!$C$4+1,1,1)-DATE(Setup!$C$4,1,1)))</f>
        <v/>
      </c>
    </row>
    <row r="6">
      <c r="B6" s="18">
        <f>IF(Setup!B8="","",Setup!B8)</f>
        <v/>
      </c>
      <c r="C6" s="19">
        <f>IF($B6="","",Jan!AJ7)</f>
        <v/>
      </c>
      <c r="D6" s="19">
        <f>IF($B6="","",Feb!AJ7)</f>
        <v/>
      </c>
      <c r="E6" s="19">
        <f>IF($B6="","",Mar!AJ7)</f>
        <v/>
      </c>
      <c r="F6" s="19">
        <f>IF($B6="","",Apr!AJ7)</f>
        <v/>
      </c>
      <c r="G6" s="19">
        <f>IF($B6="","",May!AJ7)</f>
        <v/>
      </c>
      <c r="H6" s="19">
        <f>IF($B6="","",Jun!AJ7)</f>
        <v/>
      </c>
      <c r="I6" s="19">
        <f>IF($B6="","",Jul!AJ7)</f>
        <v/>
      </c>
      <c r="J6" s="19">
        <f>IF($B6="","",Aug!AJ7)</f>
        <v/>
      </c>
      <c r="K6" s="19">
        <f>IF($B6="","",Sep!AJ7)</f>
        <v/>
      </c>
      <c r="L6" s="19">
        <f>IF($B6="","",Oct!AJ7)</f>
        <v/>
      </c>
      <c r="M6" s="19">
        <f>IF($B6="","",Nov!AJ7)</f>
        <v/>
      </c>
      <c r="N6" s="19">
        <f>IF($B6="","",Dec!AJ7)</f>
        <v/>
      </c>
      <c r="O6" s="19">
        <f>IF(B6="","",(N(Jan!AH7)+N(Feb!AH7)+N(Mar!AH7)+N(Apr!AH7)+N(May!AH7)+N(Jun!AH7)+N(Jul!AH7)+N(Aug!AH7)+N(Sep!AH7)+N(Oct!AH7)+N(Nov!AH7)+N(Dec!AH7))/(DATE(Setup!$C$4+1,1,1)-DATE(Setup!$C$4,1,1)))</f>
        <v/>
      </c>
    </row>
    <row r="7">
      <c r="B7" s="18">
        <f>IF(Setup!B9="","",Setup!B9)</f>
        <v/>
      </c>
      <c r="C7" s="19">
        <f>IF($B7="","",Jan!AJ8)</f>
        <v/>
      </c>
      <c r="D7" s="19">
        <f>IF($B7="","",Feb!AJ8)</f>
        <v/>
      </c>
      <c r="E7" s="19">
        <f>IF($B7="","",Mar!AJ8)</f>
        <v/>
      </c>
      <c r="F7" s="19">
        <f>IF($B7="","",Apr!AJ8)</f>
        <v/>
      </c>
      <c r="G7" s="19">
        <f>IF($B7="","",May!AJ8)</f>
        <v/>
      </c>
      <c r="H7" s="19">
        <f>IF($B7="","",Jun!AJ8)</f>
        <v/>
      </c>
      <c r="I7" s="19">
        <f>IF($B7="","",Jul!AJ8)</f>
        <v/>
      </c>
      <c r="J7" s="19">
        <f>IF($B7="","",Aug!AJ8)</f>
        <v/>
      </c>
      <c r="K7" s="19">
        <f>IF($B7="","",Sep!AJ8)</f>
        <v/>
      </c>
      <c r="L7" s="19">
        <f>IF($B7="","",Oct!AJ8)</f>
        <v/>
      </c>
      <c r="M7" s="19">
        <f>IF($B7="","",Nov!AJ8)</f>
        <v/>
      </c>
      <c r="N7" s="19">
        <f>IF($B7="","",Dec!AJ8)</f>
        <v/>
      </c>
      <c r="O7" s="19">
        <f>IF(B7="","",(N(Jan!AH8)+N(Feb!AH8)+N(Mar!AH8)+N(Apr!AH8)+N(May!AH8)+N(Jun!AH8)+N(Jul!AH8)+N(Aug!AH8)+N(Sep!AH8)+N(Oct!AH8)+N(Nov!AH8)+N(Dec!AH8))/(DATE(Setup!$C$4+1,1,1)-DATE(Setup!$C$4,1,1)))</f>
        <v/>
      </c>
    </row>
    <row r="8">
      <c r="B8" s="18">
        <f>IF(Setup!B10="","",Setup!B10)</f>
        <v/>
      </c>
      <c r="C8" s="19">
        <f>IF($B8="","",Jan!AJ9)</f>
        <v/>
      </c>
      <c r="D8" s="19">
        <f>IF($B8="","",Feb!AJ9)</f>
        <v/>
      </c>
      <c r="E8" s="19">
        <f>IF($B8="","",Mar!AJ9)</f>
        <v/>
      </c>
      <c r="F8" s="19">
        <f>IF($B8="","",Apr!AJ9)</f>
        <v/>
      </c>
      <c r="G8" s="19">
        <f>IF($B8="","",May!AJ9)</f>
        <v/>
      </c>
      <c r="H8" s="19">
        <f>IF($B8="","",Jun!AJ9)</f>
        <v/>
      </c>
      <c r="I8" s="19">
        <f>IF($B8="","",Jul!AJ9)</f>
        <v/>
      </c>
      <c r="J8" s="19">
        <f>IF($B8="","",Aug!AJ9)</f>
        <v/>
      </c>
      <c r="K8" s="19">
        <f>IF($B8="","",Sep!AJ9)</f>
        <v/>
      </c>
      <c r="L8" s="19">
        <f>IF($B8="","",Oct!AJ9)</f>
        <v/>
      </c>
      <c r="M8" s="19">
        <f>IF($B8="","",Nov!AJ9)</f>
        <v/>
      </c>
      <c r="N8" s="19">
        <f>IF($B8="","",Dec!AJ9)</f>
        <v/>
      </c>
      <c r="O8" s="19">
        <f>IF(B8="","",(N(Jan!AH9)+N(Feb!AH9)+N(Mar!AH9)+N(Apr!AH9)+N(May!AH9)+N(Jun!AH9)+N(Jul!AH9)+N(Aug!AH9)+N(Sep!AH9)+N(Oct!AH9)+N(Nov!AH9)+N(Dec!AH9))/(DATE(Setup!$C$4+1,1,1)-DATE(Setup!$C$4,1,1)))</f>
        <v/>
      </c>
    </row>
    <row r="9">
      <c r="B9" s="18">
        <f>IF(Setup!B11="","",Setup!B11)</f>
        <v/>
      </c>
      <c r="C9" s="19">
        <f>IF($B9="","",Jan!AJ10)</f>
        <v/>
      </c>
      <c r="D9" s="19">
        <f>IF($B9="","",Feb!AJ10)</f>
        <v/>
      </c>
      <c r="E9" s="19">
        <f>IF($B9="","",Mar!AJ10)</f>
        <v/>
      </c>
      <c r="F9" s="19">
        <f>IF($B9="","",Apr!AJ10)</f>
        <v/>
      </c>
      <c r="G9" s="19">
        <f>IF($B9="","",May!AJ10)</f>
        <v/>
      </c>
      <c r="H9" s="19">
        <f>IF($B9="","",Jun!AJ10)</f>
        <v/>
      </c>
      <c r="I9" s="19">
        <f>IF($B9="","",Jul!AJ10)</f>
        <v/>
      </c>
      <c r="J9" s="19">
        <f>IF($B9="","",Aug!AJ10)</f>
        <v/>
      </c>
      <c r="K9" s="19">
        <f>IF($B9="","",Sep!AJ10)</f>
        <v/>
      </c>
      <c r="L9" s="19">
        <f>IF($B9="","",Oct!AJ10)</f>
        <v/>
      </c>
      <c r="M9" s="19">
        <f>IF($B9="","",Nov!AJ10)</f>
        <v/>
      </c>
      <c r="N9" s="19">
        <f>IF($B9="","",Dec!AJ10)</f>
        <v/>
      </c>
      <c r="O9" s="19">
        <f>IF(B9="","",(N(Jan!AH10)+N(Feb!AH10)+N(Mar!AH10)+N(Apr!AH10)+N(May!AH10)+N(Jun!AH10)+N(Jul!AH10)+N(Aug!AH10)+N(Sep!AH10)+N(Oct!AH10)+N(Nov!AH10)+N(Dec!AH10))/(DATE(Setup!$C$4+1,1,1)-DATE(Setup!$C$4,1,1)))</f>
        <v/>
      </c>
    </row>
    <row r="10">
      <c r="B10" s="18">
        <f>IF(Setup!B12="","",Setup!B12)</f>
        <v/>
      </c>
      <c r="C10" s="19">
        <f>IF($B10="","",Jan!AJ11)</f>
        <v/>
      </c>
      <c r="D10" s="19">
        <f>IF($B10="","",Feb!AJ11)</f>
        <v/>
      </c>
      <c r="E10" s="19">
        <f>IF($B10="","",Mar!AJ11)</f>
        <v/>
      </c>
      <c r="F10" s="19">
        <f>IF($B10="","",Apr!AJ11)</f>
        <v/>
      </c>
      <c r="G10" s="19">
        <f>IF($B10="","",May!AJ11)</f>
        <v/>
      </c>
      <c r="H10" s="19">
        <f>IF($B10="","",Jun!AJ11)</f>
        <v/>
      </c>
      <c r="I10" s="19">
        <f>IF($B10="","",Jul!AJ11)</f>
        <v/>
      </c>
      <c r="J10" s="19">
        <f>IF($B10="","",Aug!AJ11)</f>
        <v/>
      </c>
      <c r="K10" s="19">
        <f>IF($B10="","",Sep!AJ11)</f>
        <v/>
      </c>
      <c r="L10" s="19">
        <f>IF($B10="","",Oct!AJ11)</f>
        <v/>
      </c>
      <c r="M10" s="19">
        <f>IF($B10="","",Nov!AJ11)</f>
        <v/>
      </c>
      <c r="N10" s="19">
        <f>IF($B10="","",Dec!AJ11)</f>
        <v/>
      </c>
      <c r="O10" s="19">
        <f>IF(B10="","",(N(Jan!AH11)+N(Feb!AH11)+N(Mar!AH11)+N(Apr!AH11)+N(May!AH11)+N(Jun!AH11)+N(Jul!AH11)+N(Aug!AH11)+N(Sep!AH11)+N(Oct!AH11)+N(Nov!AH11)+N(Dec!AH11))/(DATE(Setup!$C$4+1,1,1)-DATE(Setup!$C$4,1,1)))</f>
        <v/>
      </c>
    </row>
    <row r="11">
      <c r="B11" s="18">
        <f>IF(Setup!B13="","",Setup!B13)</f>
        <v/>
      </c>
      <c r="C11" s="19">
        <f>IF($B11="","",Jan!AJ12)</f>
        <v/>
      </c>
      <c r="D11" s="19">
        <f>IF($B11="","",Feb!AJ12)</f>
        <v/>
      </c>
      <c r="E11" s="19">
        <f>IF($B11="","",Mar!AJ12)</f>
        <v/>
      </c>
      <c r="F11" s="19">
        <f>IF($B11="","",Apr!AJ12)</f>
        <v/>
      </c>
      <c r="G11" s="19">
        <f>IF($B11="","",May!AJ12)</f>
        <v/>
      </c>
      <c r="H11" s="19">
        <f>IF($B11="","",Jun!AJ12)</f>
        <v/>
      </c>
      <c r="I11" s="19">
        <f>IF($B11="","",Jul!AJ12)</f>
        <v/>
      </c>
      <c r="J11" s="19">
        <f>IF($B11="","",Aug!AJ12)</f>
        <v/>
      </c>
      <c r="K11" s="19">
        <f>IF($B11="","",Sep!AJ12)</f>
        <v/>
      </c>
      <c r="L11" s="19">
        <f>IF($B11="","",Oct!AJ12)</f>
        <v/>
      </c>
      <c r="M11" s="19">
        <f>IF($B11="","",Nov!AJ12)</f>
        <v/>
      </c>
      <c r="N11" s="19">
        <f>IF($B11="","",Dec!AJ12)</f>
        <v/>
      </c>
      <c r="O11" s="19">
        <f>IF(B11="","",(N(Jan!AH12)+N(Feb!AH12)+N(Mar!AH12)+N(Apr!AH12)+N(May!AH12)+N(Jun!AH12)+N(Jul!AH12)+N(Aug!AH12)+N(Sep!AH12)+N(Oct!AH12)+N(Nov!AH12)+N(Dec!AH12))/(DATE(Setup!$C$4+1,1,1)-DATE(Setup!$C$4,1,1)))</f>
        <v/>
      </c>
    </row>
    <row r="12">
      <c r="B12" s="18">
        <f>IF(Setup!B14="","",Setup!B14)</f>
        <v/>
      </c>
      <c r="C12" s="19">
        <f>IF($B12="","",Jan!AJ13)</f>
        <v/>
      </c>
      <c r="D12" s="19">
        <f>IF($B12="","",Feb!AJ13)</f>
        <v/>
      </c>
      <c r="E12" s="19">
        <f>IF($B12="","",Mar!AJ13)</f>
        <v/>
      </c>
      <c r="F12" s="19">
        <f>IF($B12="","",Apr!AJ13)</f>
        <v/>
      </c>
      <c r="G12" s="19">
        <f>IF($B12="","",May!AJ13)</f>
        <v/>
      </c>
      <c r="H12" s="19">
        <f>IF($B12="","",Jun!AJ13)</f>
        <v/>
      </c>
      <c r="I12" s="19">
        <f>IF($B12="","",Jul!AJ13)</f>
        <v/>
      </c>
      <c r="J12" s="19">
        <f>IF($B12="","",Aug!AJ13)</f>
        <v/>
      </c>
      <c r="K12" s="19">
        <f>IF($B12="","",Sep!AJ13)</f>
        <v/>
      </c>
      <c r="L12" s="19">
        <f>IF($B12="","",Oct!AJ13)</f>
        <v/>
      </c>
      <c r="M12" s="19">
        <f>IF($B12="","",Nov!AJ13)</f>
        <v/>
      </c>
      <c r="N12" s="19">
        <f>IF($B12="","",Dec!AJ13)</f>
        <v/>
      </c>
      <c r="O12" s="19">
        <f>IF(B12="","",(N(Jan!AH13)+N(Feb!AH13)+N(Mar!AH13)+N(Apr!AH13)+N(May!AH13)+N(Jun!AH13)+N(Jul!AH13)+N(Aug!AH13)+N(Sep!AH13)+N(Oct!AH13)+N(Nov!AH13)+N(Dec!AH13))/(DATE(Setup!$C$4+1,1,1)-DATE(Setup!$C$4,1,1)))</f>
        <v/>
      </c>
    </row>
    <row r="13">
      <c r="B13" s="18">
        <f>IF(Setup!B15="","",Setup!B15)</f>
        <v/>
      </c>
      <c r="C13" s="19">
        <f>IF($B13="","",Jan!AJ14)</f>
        <v/>
      </c>
      <c r="D13" s="19">
        <f>IF($B13="","",Feb!AJ14)</f>
        <v/>
      </c>
      <c r="E13" s="19">
        <f>IF($B13="","",Mar!AJ14)</f>
        <v/>
      </c>
      <c r="F13" s="19">
        <f>IF($B13="","",Apr!AJ14)</f>
        <v/>
      </c>
      <c r="G13" s="19">
        <f>IF($B13="","",May!AJ14)</f>
        <v/>
      </c>
      <c r="H13" s="19">
        <f>IF($B13="","",Jun!AJ14)</f>
        <v/>
      </c>
      <c r="I13" s="19">
        <f>IF($B13="","",Jul!AJ14)</f>
        <v/>
      </c>
      <c r="J13" s="19">
        <f>IF($B13="","",Aug!AJ14)</f>
        <v/>
      </c>
      <c r="K13" s="19">
        <f>IF($B13="","",Sep!AJ14)</f>
        <v/>
      </c>
      <c r="L13" s="19">
        <f>IF($B13="","",Oct!AJ14)</f>
        <v/>
      </c>
      <c r="M13" s="19">
        <f>IF($B13="","",Nov!AJ14)</f>
        <v/>
      </c>
      <c r="N13" s="19">
        <f>IF($B13="","",Dec!AJ14)</f>
        <v/>
      </c>
      <c r="O13" s="19">
        <f>IF(B13="","",(N(Jan!AH14)+N(Feb!AH14)+N(Mar!AH14)+N(Apr!AH14)+N(May!AH14)+N(Jun!AH14)+N(Jul!AH14)+N(Aug!AH14)+N(Sep!AH14)+N(Oct!AH14)+N(Nov!AH14)+N(Dec!AH14))/(DATE(Setup!$C$4+1,1,1)-DATE(Setup!$C$4,1,1)))</f>
        <v/>
      </c>
    </row>
    <row r="14">
      <c r="B14" s="18">
        <f>IF(Setup!B16="","",Setup!B16)</f>
        <v/>
      </c>
      <c r="C14" s="19">
        <f>IF($B14="","",Jan!AJ15)</f>
        <v/>
      </c>
      <c r="D14" s="19">
        <f>IF($B14="","",Feb!AJ15)</f>
        <v/>
      </c>
      <c r="E14" s="19">
        <f>IF($B14="","",Mar!AJ15)</f>
        <v/>
      </c>
      <c r="F14" s="19">
        <f>IF($B14="","",Apr!AJ15)</f>
        <v/>
      </c>
      <c r="G14" s="19">
        <f>IF($B14="","",May!AJ15)</f>
        <v/>
      </c>
      <c r="H14" s="19">
        <f>IF($B14="","",Jun!AJ15)</f>
        <v/>
      </c>
      <c r="I14" s="19">
        <f>IF($B14="","",Jul!AJ15)</f>
        <v/>
      </c>
      <c r="J14" s="19">
        <f>IF($B14="","",Aug!AJ15)</f>
        <v/>
      </c>
      <c r="K14" s="19">
        <f>IF($B14="","",Sep!AJ15)</f>
        <v/>
      </c>
      <c r="L14" s="19">
        <f>IF($B14="","",Oct!AJ15)</f>
        <v/>
      </c>
      <c r="M14" s="19">
        <f>IF($B14="","",Nov!AJ15)</f>
        <v/>
      </c>
      <c r="N14" s="19">
        <f>IF($B14="","",Dec!AJ15)</f>
        <v/>
      </c>
      <c r="O14" s="19">
        <f>IF(B14="","",(N(Jan!AH15)+N(Feb!AH15)+N(Mar!AH15)+N(Apr!AH15)+N(May!AH15)+N(Jun!AH15)+N(Jul!AH15)+N(Aug!AH15)+N(Sep!AH15)+N(Oct!AH15)+N(Nov!AH15)+N(Dec!AH15))/(DATE(Setup!$C$4+1,1,1)-DATE(Setup!$C$4,1,1)))</f>
        <v/>
      </c>
    </row>
    <row r="15">
      <c r="B15" s="18">
        <f>IF(Setup!B17="","",Setup!B17)</f>
        <v/>
      </c>
      <c r="C15" s="19">
        <f>IF($B15="","",Jan!AJ16)</f>
        <v/>
      </c>
      <c r="D15" s="19">
        <f>IF($B15="","",Feb!AJ16)</f>
        <v/>
      </c>
      <c r="E15" s="19">
        <f>IF($B15="","",Mar!AJ16)</f>
        <v/>
      </c>
      <c r="F15" s="19">
        <f>IF($B15="","",Apr!AJ16)</f>
        <v/>
      </c>
      <c r="G15" s="19">
        <f>IF($B15="","",May!AJ16)</f>
        <v/>
      </c>
      <c r="H15" s="19">
        <f>IF($B15="","",Jun!AJ16)</f>
        <v/>
      </c>
      <c r="I15" s="19">
        <f>IF($B15="","",Jul!AJ16)</f>
        <v/>
      </c>
      <c r="J15" s="19">
        <f>IF($B15="","",Aug!AJ16)</f>
        <v/>
      </c>
      <c r="K15" s="19">
        <f>IF($B15="","",Sep!AJ16)</f>
        <v/>
      </c>
      <c r="L15" s="19">
        <f>IF($B15="","",Oct!AJ16)</f>
        <v/>
      </c>
      <c r="M15" s="19">
        <f>IF($B15="","",Nov!AJ16)</f>
        <v/>
      </c>
      <c r="N15" s="19">
        <f>IF($B15="","",Dec!AJ16)</f>
        <v/>
      </c>
      <c r="O15" s="19">
        <f>IF(B15="","",(N(Jan!AH16)+N(Feb!AH16)+N(Mar!AH16)+N(Apr!AH16)+N(May!AH16)+N(Jun!AH16)+N(Jul!AH16)+N(Aug!AH16)+N(Sep!AH16)+N(Oct!AH16)+N(Nov!AH16)+N(Dec!AH16))/(DATE(Setup!$C$4+1,1,1)-DATE(Setup!$C$4,1,1)))</f>
        <v/>
      </c>
    </row>
    <row r="16">
      <c r="B16" s="18">
        <f>IF(Setup!B18="","",Setup!B18)</f>
        <v/>
      </c>
      <c r="C16" s="19">
        <f>IF($B16="","",Jan!AJ17)</f>
        <v/>
      </c>
      <c r="D16" s="19">
        <f>IF($B16="","",Feb!AJ17)</f>
        <v/>
      </c>
      <c r="E16" s="19">
        <f>IF($B16="","",Mar!AJ17)</f>
        <v/>
      </c>
      <c r="F16" s="19">
        <f>IF($B16="","",Apr!AJ17)</f>
        <v/>
      </c>
      <c r="G16" s="19">
        <f>IF($B16="","",May!AJ17)</f>
        <v/>
      </c>
      <c r="H16" s="19">
        <f>IF($B16="","",Jun!AJ17)</f>
        <v/>
      </c>
      <c r="I16" s="19">
        <f>IF($B16="","",Jul!AJ17)</f>
        <v/>
      </c>
      <c r="J16" s="19">
        <f>IF($B16="","",Aug!AJ17)</f>
        <v/>
      </c>
      <c r="K16" s="19">
        <f>IF($B16="","",Sep!AJ17)</f>
        <v/>
      </c>
      <c r="L16" s="19">
        <f>IF($B16="","",Oct!AJ17)</f>
        <v/>
      </c>
      <c r="M16" s="19">
        <f>IF($B16="","",Nov!AJ17)</f>
        <v/>
      </c>
      <c r="N16" s="19">
        <f>IF($B16="","",Dec!AJ17)</f>
        <v/>
      </c>
      <c r="O16" s="19">
        <f>IF(B16="","",(N(Jan!AH17)+N(Feb!AH17)+N(Mar!AH17)+N(Apr!AH17)+N(May!AH17)+N(Jun!AH17)+N(Jul!AH17)+N(Aug!AH17)+N(Sep!AH17)+N(Oct!AH17)+N(Nov!AH17)+N(Dec!AH17))/(DATE(Setup!$C$4+1,1,1)-DATE(Setup!$C$4,1,1)))</f>
        <v/>
      </c>
    </row>
    <row r="17">
      <c r="B17" s="18">
        <f>IF(Setup!B19="","",Setup!B19)</f>
        <v/>
      </c>
      <c r="C17" s="19">
        <f>IF($B17="","",Jan!AJ18)</f>
        <v/>
      </c>
      <c r="D17" s="19">
        <f>IF($B17="","",Feb!AJ18)</f>
        <v/>
      </c>
      <c r="E17" s="19">
        <f>IF($B17="","",Mar!AJ18)</f>
        <v/>
      </c>
      <c r="F17" s="19">
        <f>IF($B17="","",Apr!AJ18)</f>
        <v/>
      </c>
      <c r="G17" s="19">
        <f>IF($B17="","",May!AJ18)</f>
        <v/>
      </c>
      <c r="H17" s="19">
        <f>IF($B17="","",Jun!AJ18)</f>
        <v/>
      </c>
      <c r="I17" s="19">
        <f>IF($B17="","",Jul!AJ18)</f>
        <v/>
      </c>
      <c r="J17" s="19">
        <f>IF($B17="","",Aug!AJ18)</f>
        <v/>
      </c>
      <c r="K17" s="19">
        <f>IF($B17="","",Sep!AJ18)</f>
        <v/>
      </c>
      <c r="L17" s="19">
        <f>IF($B17="","",Oct!AJ18)</f>
        <v/>
      </c>
      <c r="M17" s="19">
        <f>IF($B17="","",Nov!AJ18)</f>
        <v/>
      </c>
      <c r="N17" s="19">
        <f>IF($B17="","",Dec!AJ18)</f>
        <v/>
      </c>
      <c r="O17" s="19">
        <f>IF(B17="","",(N(Jan!AH18)+N(Feb!AH18)+N(Mar!AH18)+N(Apr!AH18)+N(May!AH18)+N(Jun!AH18)+N(Jul!AH18)+N(Aug!AH18)+N(Sep!AH18)+N(Oct!AH18)+N(Nov!AH18)+N(Dec!AH18))/(DATE(Setup!$C$4+1,1,1)-DATE(Setup!$C$4,1,1)))</f>
        <v/>
      </c>
    </row>
    <row r="18">
      <c r="B18" s="18">
        <f>IF(Setup!B20="","",Setup!B20)</f>
        <v/>
      </c>
      <c r="C18" s="19">
        <f>IF($B18="","",Jan!AJ19)</f>
        <v/>
      </c>
      <c r="D18" s="19">
        <f>IF($B18="","",Feb!AJ19)</f>
        <v/>
      </c>
      <c r="E18" s="19">
        <f>IF($B18="","",Mar!AJ19)</f>
        <v/>
      </c>
      <c r="F18" s="19">
        <f>IF($B18="","",Apr!AJ19)</f>
        <v/>
      </c>
      <c r="G18" s="19">
        <f>IF($B18="","",May!AJ19)</f>
        <v/>
      </c>
      <c r="H18" s="19">
        <f>IF($B18="","",Jun!AJ19)</f>
        <v/>
      </c>
      <c r="I18" s="19">
        <f>IF($B18="","",Jul!AJ19)</f>
        <v/>
      </c>
      <c r="J18" s="19">
        <f>IF($B18="","",Aug!AJ19)</f>
        <v/>
      </c>
      <c r="K18" s="19">
        <f>IF($B18="","",Sep!AJ19)</f>
        <v/>
      </c>
      <c r="L18" s="19">
        <f>IF($B18="","",Oct!AJ19)</f>
        <v/>
      </c>
      <c r="M18" s="19">
        <f>IF($B18="","",Nov!AJ19)</f>
        <v/>
      </c>
      <c r="N18" s="19">
        <f>IF($B18="","",Dec!AJ19)</f>
        <v/>
      </c>
      <c r="O18" s="19">
        <f>IF(B18="","",(N(Jan!AH19)+N(Feb!AH19)+N(Mar!AH19)+N(Apr!AH19)+N(May!AH19)+N(Jun!AH19)+N(Jul!AH19)+N(Aug!AH19)+N(Sep!AH19)+N(Oct!AH19)+N(Nov!AH19)+N(Dec!AH19))/(DATE(Setup!$C$4+1,1,1)-DATE(Setup!$C$4,1,1)))</f>
        <v/>
      </c>
    </row>
    <row r="19">
      <c r="B19" s="18">
        <f>IF(Setup!B21="","",Setup!B21)</f>
        <v/>
      </c>
      <c r="C19" s="19">
        <f>IF($B19="","",Jan!AJ20)</f>
        <v/>
      </c>
      <c r="D19" s="19">
        <f>IF($B19="","",Feb!AJ20)</f>
        <v/>
      </c>
      <c r="E19" s="19">
        <f>IF($B19="","",Mar!AJ20)</f>
        <v/>
      </c>
      <c r="F19" s="19">
        <f>IF($B19="","",Apr!AJ20)</f>
        <v/>
      </c>
      <c r="G19" s="19">
        <f>IF($B19="","",May!AJ20)</f>
        <v/>
      </c>
      <c r="H19" s="19">
        <f>IF($B19="","",Jun!AJ20)</f>
        <v/>
      </c>
      <c r="I19" s="19">
        <f>IF($B19="","",Jul!AJ20)</f>
        <v/>
      </c>
      <c r="J19" s="19">
        <f>IF($B19="","",Aug!AJ20)</f>
        <v/>
      </c>
      <c r="K19" s="19">
        <f>IF($B19="","",Sep!AJ20)</f>
        <v/>
      </c>
      <c r="L19" s="19">
        <f>IF($B19="","",Oct!AJ20)</f>
        <v/>
      </c>
      <c r="M19" s="19">
        <f>IF($B19="","",Nov!AJ20)</f>
        <v/>
      </c>
      <c r="N19" s="19">
        <f>IF($B19="","",Dec!AJ20)</f>
        <v/>
      </c>
      <c r="O19" s="19">
        <f>IF(B19="","",(N(Jan!AH20)+N(Feb!AH20)+N(Mar!AH20)+N(Apr!AH20)+N(May!AH20)+N(Jun!AH20)+N(Jul!AH20)+N(Aug!AH20)+N(Sep!AH20)+N(Oct!AH20)+N(Nov!AH20)+N(Dec!AH20))/(DATE(Setup!$C$4+1,1,1)-DATE(Setup!$C$4,1,1)))</f>
        <v/>
      </c>
    </row>
    <row r="20">
      <c r="B20" s="12" t="inlineStr">
        <is>
          <t>Average</t>
        </is>
      </c>
      <c r="C20" s="20">
        <f>IFERROR(AVERAGE(C5:C19),"")</f>
        <v/>
      </c>
      <c r="D20" s="20">
        <f>IFERROR(AVERAGE(D5:D19),"")</f>
        <v/>
      </c>
      <c r="E20" s="20">
        <f>IFERROR(AVERAGE(E5:E19),"")</f>
        <v/>
      </c>
      <c r="F20" s="20">
        <f>IFERROR(AVERAGE(F5:F19),"")</f>
        <v/>
      </c>
      <c r="G20" s="20">
        <f>IFERROR(AVERAGE(G5:G19),"")</f>
        <v/>
      </c>
      <c r="H20" s="20">
        <f>IFERROR(AVERAGE(H5:H19),"")</f>
        <v/>
      </c>
      <c r="I20" s="20">
        <f>IFERROR(AVERAGE(I5:I19),"")</f>
        <v/>
      </c>
      <c r="J20" s="20">
        <f>IFERROR(AVERAGE(J5:J19),"")</f>
        <v/>
      </c>
      <c r="K20" s="20">
        <f>IFERROR(AVERAGE(K5:K19),"")</f>
        <v/>
      </c>
      <c r="L20" s="20">
        <f>IFERROR(AVERAGE(L5:L19),"")</f>
        <v/>
      </c>
      <c r="M20" s="20">
        <f>IFERROR(AVERAGE(M5:M19),"")</f>
        <v/>
      </c>
      <c r="N20" s="20">
        <f>IFERROR(AVERAGE(N5:N19),"")</f>
        <v/>
      </c>
      <c r="O20" s="20">
        <f>IFERROR(AVERAGE(O5:O19),"")</f>
        <v/>
      </c>
    </row>
  </sheetData>
  <conditionalFormatting sqref="C5:O19">
    <cfRule type="colorScale" priority="1">
      <colorScale>
        <cfvo type="num" val="0"/>
        <cfvo type="num" val="0.5"/>
        <cfvo type="num" val="1"/>
        <color rgb="00F3F4F6"/>
        <color rgb="00A4EBD1"/>
        <color rgb="00059669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34D399"/>
    <outlinePr summaryBelow="1" summaryRight="1"/>
    <pageSetUpPr fitToPage="1"/>
  </sheetPr>
  <dimension ref="A1:AK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8" customWidth="1" min="34" max="34"/>
    <col width="8" customWidth="1" min="35" max="35"/>
    <col width="10" customWidth="1" min="36" max="36"/>
    <col width="10" customWidth="1" min="37" max="37"/>
  </cols>
  <sheetData>
    <row r="1" ht="30" customHeight="1">
      <c r="A1" s="1">
        <f>TEXT(DATE(Setup!$C$4,1,1),"mmmm yyyy")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20" customHeight="1">
      <c r="A2" s="3" t="inlineStr">
        <is>
          <t>Mark ✓ when done  ·  علّم ✓ عند الإنجاز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4">
      <c r="B4" s="21" t="inlineStr">
        <is>
          <t>Habit</t>
        </is>
      </c>
      <c r="C4" s="22">
        <f>IF(MONTH(DATE(Setup!$C$4,1,1))=1,DATE(Setup!$C$4,1,1),"")</f>
        <v/>
      </c>
      <c r="D4" s="22">
        <f>IF(MONTH(DATE(Setup!$C$4,1,2))=1,DATE(Setup!$C$4,1,2),"")</f>
        <v/>
      </c>
      <c r="E4" s="22">
        <f>IF(MONTH(DATE(Setup!$C$4,1,3))=1,DATE(Setup!$C$4,1,3),"")</f>
        <v/>
      </c>
      <c r="F4" s="22">
        <f>IF(MONTH(DATE(Setup!$C$4,1,4))=1,DATE(Setup!$C$4,1,4),"")</f>
        <v/>
      </c>
      <c r="G4" s="22">
        <f>IF(MONTH(DATE(Setup!$C$4,1,5))=1,DATE(Setup!$C$4,1,5),"")</f>
        <v/>
      </c>
      <c r="H4" s="22">
        <f>IF(MONTH(DATE(Setup!$C$4,1,6))=1,DATE(Setup!$C$4,1,6),"")</f>
        <v/>
      </c>
      <c r="I4" s="22">
        <f>IF(MONTH(DATE(Setup!$C$4,1,7))=1,DATE(Setup!$C$4,1,7),"")</f>
        <v/>
      </c>
      <c r="J4" s="22">
        <f>IF(MONTH(DATE(Setup!$C$4,1,8))=1,DATE(Setup!$C$4,1,8),"")</f>
        <v/>
      </c>
      <c r="K4" s="22">
        <f>IF(MONTH(DATE(Setup!$C$4,1,9))=1,DATE(Setup!$C$4,1,9),"")</f>
        <v/>
      </c>
      <c r="L4" s="22">
        <f>IF(MONTH(DATE(Setup!$C$4,1,10))=1,DATE(Setup!$C$4,1,10),"")</f>
        <v/>
      </c>
      <c r="M4" s="22">
        <f>IF(MONTH(DATE(Setup!$C$4,1,11))=1,DATE(Setup!$C$4,1,11),"")</f>
        <v/>
      </c>
      <c r="N4" s="22">
        <f>IF(MONTH(DATE(Setup!$C$4,1,12))=1,DATE(Setup!$C$4,1,12),"")</f>
        <v/>
      </c>
      <c r="O4" s="22">
        <f>IF(MONTH(DATE(Setup!$C$4,1,13))=1,DATE(Setup!$C$4,1,13),"")</f>
        <v/>
      </c>
      <c r="P4" s="22">
        <f>IF(MONTH(DATE(Setup!$C$4,1,14))=1,DATE(Setup!$C$4,1,14),"")</f>
        <v/>
      </c>
      <c r="Q4" s="22">
        <f>IF(MONTH(DATE(Setup!$C$4,1,15))=1,DATE(Setup!$C$4,1,15),"")</f>
        <v/>
      </c>
      <c r="R4" s="22">
        <f>IF(MONTH(DATE(Setup!$C$4,1,16))=1,DATE(Setup!$C$4,1,16),"")</f>
        <v/>
      </c>
      <c r="S4" s="22">
        <f>IF(MONTH(DATE(Setup!$C$4,1,17))=1,DATE(Setup!$C$4,1,17),"")</f>
        <v/>
      </c>
      <c r="T4" s="22">
        <f>IF(MONTH(DATE(Setup!$C$4,1,18))=1,DATE(Setup!$C$4,1,18),"")</f>
        <v/>
      </c>
      <c r="U4" s="22">
        <f>IF(MONTH(DATE(Setup!$C$4,1,19))=1,DATE(Setup!$C$4,1,19),"")</f>
        <v/>
      </c>
      <c r="V4" s="22">
        <f>IF(MONTH(DATE(Setup!$C$4,1,20))=1,DATE(Setup!$C$4,1,20),"")</f>
        <v/>
      </c>
      <c r="W4" s="22">
        <f>IF(MONTH(DATE(Setup!$C$4,1,21))=1,DATE(Setup!$C$4,1,21),"")</f>
        <v/>
      </c>
      <c r="X4" s="22">
        <f>IF(MONTH(DATE(Setup!$C$4,1,22))=1,DATE(Setup!$C$4,1,22),"")</f>
        <v/>
      </c>
      <c r="Y4" s="22">
        <f>IF(MONTH(DATE(Setup!$C$4,1,23))=1,DATE(Setup!$C$4,1,23),"")</f>
        <v/>
      </c>
      <c r="Z4" s="22">
        <f>IF(MONTH(DATE(Setup!$C$4,1,24))=1,DATE(Setup!$C$4,1,24),"")</f>
        <v/>
      </c>
      <c r="AA4" s="22">
        <f>IF(MONTH(DATE(Setup!$C$4,1,25))=1,DATE(Setup!$C$4,1,25),"")</f>
        <v/>
      </c>
      <c r="AB4" s="22">
        <f>IF(MONTH(DATE(Setup!$C$4,1,26))=1,DATE(Setup!$C$4,1,26),"")</f>
        <v/>
      </c>
      <c r="AC4" s="22">
        <f>IF(MONTH(DATE(Setup!$C$4,1,27))=1,DATE(Setup!$C$4,1,27),"")</f>
        <v/>
      </c>
      <c r="AD4" s="22">
        <f>IF(MONTH(DATE(Setup!$C$4,1,28))=1,DATE(Setup!$C$4,1,28),"")</f>
        <v/>
      </c>
      <c r="AE4" s="22">
        <f>IF(MONTH(DATE(Setup!$C$4,1,29))=1,DATE(Setup!$C$4,1,29),"")</f>
        <v/>
      </c>
      <c r="AF4" s="22">
        <f>IF(MONTH(DATE(Setup!$C$4,1,30))=1,DATE(Setup!$C$4,1,30),"")</f>
        <v/>
      </c>
      <c r="AG4" s="22">
        <f>IF(MONTH(DATE(Setup!$C$4,1,31))=1,DATE(Setup!$C$4,1,31),"")</f>
        <v/>
      </c>
      <c r="AH4" s="23" t="inlineStr">
        <is>
          <t>Done</t>
        </is>
      </c>
      <c r="AI4" s="23" t="inlineStr">
        <is>
          <t>Goal</t>
        </is>
      </c>
      <c r="AJ4" s="23" t="inlineStr">
        <is>
          <t>Rate</t>
        </is>
      </c>
      <c r="AK4" s="23" t="inlineStr">
        <is>
          <t>vs goal</t>
        </is>
      </c>
    </row>
    <row r="5">
      <c r="B5" s="24" t="n"/>
      <c r="C5" s="25">
        <f>IF(C4="","",MID("SMTWTFS",WEEKDAY(C4),1))</f>
        <v/>
      </c>
      <c r="D5" s="25">
        <f>IF(D4="","",MID("SMTWTFS",WEEKDAY(D4),1))</f>
        <v/>
      </c>
      <c r="E5" s="25">
        <f>IF(E4="","",MID("SMTWTFS",WEEKDAY(E4),1))</f>
        <v/>
      </c>
      <c r="F5" s="25">
        <f>IF(F4="","",MID("SMTWTFS",WEEKDAY(F4),1))</f>
        <v/>
      </c>
      <c r="G5" s="25">
        <f>IF(G4="","",MID("SMTWTFS",WEEKDAY(G4),1))</f>
        <v/>
      </c>
      <c r="H5" s="25">
        <f>IF(H4="","",MID("SMTWTFS",WEEKDAY(H4),1))</f>
        <v/>
      </c>
      <c r="I5" s="25">
        <f>IF(I4="","",MID("SMTWTFS",WEEKDAY(I4),1))</f>
        <v/>
      </c>
      <c r="J5" s="25">
        <f>IF(J4="","",MID("SMTWTFS",WEEKDAY(J4),1))</f>
        <v/>
      </c>
      <c r="K5" s="25">
        <f>IF(K4="","",MID("SMTWTFS",WEEKDAY(K4),1))</f>
        <v/>
      </c>
      <c r="L5" s="25">
        <f>IF(L4="","",MID("SMTWTFS",WEEKDAY(L4),1))</f>
        <v/>
      </c>
      <c r="M5" s="25">
        <f>IF(M4="","",MID("SMTWTFS",WEEKDAY(M4),1))</f>
        <v/>
      </c>
      <c r="N5" s="25">
        <f>IF(N4="","",MID("SMTWTFS",WEEKDAY(N4),1))</f>
        <v/>
      </c>
      <c r="O5" s="25">
        <f>IF(O4="","",MID("SMTWTFS",WEEKDAY(O4),1))</f>
        <v/>
      </c>
      <c r="P5" s="25">
        <f>IF(P4="","",MID("SMTWTFS",WEEKDAY(P4),1))</f>
        <v/>
      </c>
      <c r="Q5" s="25">
        <f>IF(Q4="","",MID("SMTWTFS",WEEKDAY(Q4),1))</f>
        <v/>
      </c>
      <c r="R5" s="25">
        <f>IF(R4="","",MID("SMTWTFS",WEEKDAY(R4),1))</f>
        <v/>
      </c>
      <c r="S5" s="25">
        <f>IF(S4="","",MID("SMTWTFS",WEEKDAY(S4),1))</f>
        <v/>
      </c>
      <c r="T5" s="25">
        <f>IF(T4="","",MID("SMTWTFS",WEEKDAY(T4),1))</f>
        <v/>
      </c>
      <c r="U5" s="25">
        <f>IF(U4="","",MID("SMTWTFS",WEEKDAY(U4),1))</f>
        <v/>
      </c>
      <c r="V5" s="25">
        <f>IF(V4="","",MID("SMTWTFS",WEEKDAY(V4),1))</f>
        <v/>
      </c>
      <c r="W5" s="25">
        <f>IF(W4="","",MID("SMTWTFS",WEEKDAY(W4),1))</f>
        <v/>
      </c>
      <c r="X5" s="25">
        <f>IF(X4="","",MID("SMTWTFS",WEEKDAY(X4),1))</f>
        <v/>
      </c>
      <c r="Y5" s="25">
        <f>IF(Y4="","",MID("SMTWTFS",WEEKDAY(Y4),1))</f>
        <v/>
      </c>
      <c r="Z5" s="25">
        <f>IF(Z4="","",MID("SMTWTFS",WEEKDAY(Z4),1))</f>
        <v/>
      </c>
      <c r="AA5" s="25">
        <f>IF(AA4="","",MID("SMTWTFS",WEEKDAY(AA4),1))</f>
        <v/>
      </c>
      <c r="AB5" s="25">
        <f>IF(AB4="","",MID("SMTWTFS",WEEKDAY(AB4),1))</f>
        <v/>
      </c>
      <c r="AC5" s="25">
        <f>IF(AC4="","",MID("SMTWTFS",WEEKDAY(AC4),1))</f>
        <v/>
      </c>
      <c r="AD5" s="25">
        <f>IF(AD4="","",MID("SMTWTFS",WEEKDAY(AD4),1))</f>
        <v/>
      </c>
      <c r="AE5" s="25">
        <f>IF(AE4="","",MID("SMTWTFS",WEEKDAY(AE4),1))</f>
        <v/>
      </c>
      <c r="AF5" s="25">
        <f>IF(AF4="","",MID("SMTWTFS",WEEKDAY(AF4),1))</f>
        <v/>
      </c>
      <c r="AG5" s="25">
        <f>IF(AG4="","",MID("SMTWTFS",WEEKDAY(AG4),1))</f>
        <v/>
      </c>
      <c r="AH5" s="26" t="n"/>
      <c r="AI5" s="26" t="n"/>
      <c r="AJ5" s="26" t="n"/>
      <c r="AK5" s="26" t="n"/>
    </row>
    <row r="6" ht="20" customHeight="1">
      <c r="B6" s="18">
        <f>IF(Setup!B7="","",Setup!B7)</f>
        <v/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8">
        <f>IF(B6="","",COUNTIF(C6:AG6,"✓")+COUNTIF(C6:AG6,"x"))</f>
        <v/>
      </c>
      <c r="AI6" s="28">
        <f>IF(OR(B6="",Setup!C7=""),"",MIN(Setup!C7,COUNT($C$4:$AG$4)))</f>
        <v/>
      </c>
      <c r="AJ6" s="29">
        <f>IF(B6="","",AH6/COUNT($C$4:$AG$4))</f>
        <v/>
      </c>
      <c r="AK6" s="29">
        <f>IF(OR(B6="",N(AI6)=0),"",MIN(1,AH6/AI6))</f>
        <v/>
      </c>
    </row>
    <row r="7" ht="20" customHeight="1">
      <c r="B7" s="18">
        <f>IF(Setup!B8="","",Setup!B8)</f>
        <v/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8">
        <f>IF(B7="","",COUNTIF(C7:AG7,"✓")+COUNTIF(C7:AG7,"x"))</f>
        <v/>
      </c>
      <c r="AI7" s="28">
        <f>IF(OR(B7="",Setup!C8=""),"",MIN(Setup!C8,COUNT($C$4:$AG$4)))</f>
        <v/>
      </c>
      <c r="AJ7" s="29">
        <f>IF(B7="","",AH7/COUNT($C$4:$AG$4))</f>
        <v/>
      </c>
      <c r="AK7" s="29">
        <f>IF(OR(B7="",N(AI7)=0),"",MIN(1,AH7/AI7))</f>
        <v/>
      </c>
    </row>
    <row r="8" ht="20" customHeight="1">
      <c r="B8" s="18">
        <f>IF(Setup!B9="","",Setup!B9)</f>
        <v/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8">
        <f>IF(B8="","",COUNTIF(C8:AG8,"✓")+COUNTIF(C8:AG8,"x"))</f>
        <v/>
      </c>
      <c r="AI8" s="28">
        <f>IF(OR(B8="",Setup!C9=""),"",MIN(Setup!C9,COUNT($C$4:$AG$4)))</f>
        <v/>
      </c>
      <c r="AJ8" s="29">
        <f>IF(B8="","",AH8/COUNT($C$4:$AG$4))</f>
        <v/>
      </c>
      <c r="AK8" s="29">
        <f>IF(OR(B8="",N(AI8)=0),"",MIN(1,AH8/AI8))</f>
        <v/>
      </c>
    </row>
    <row r="9" ht="20" customHeight="1">
      <c r="B9" s="18">
        <f>IF(Setup!B10="","",Setup!B10)</f>
        <v/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8">
        <f>IF(B9="","",COUNTIF(C9:AG9,"✓")+COUNTIF(C9:AG9,"x"))</f>
        <v/>
      </c>
      <c r="AI9" s="28">
        <f>IF(OR(B9="",Setup!C10=""),"",MIN(Setup!C10,COUNT($C$4:$AG$4)))</f>
        <v/>
      </c>
      <c r="AJ9" s="29">
        <f>IF(B9="","",AH9/COUNT($C$4:$AG$4))</f>
        <v/>
      </c>
      <c r="AK9" s="29">
        <f>IF(OR(B9="",N(AI9)=0),"",MIN(1,AH9/AI9))</f>
        <v/>
      </c>
    </row>
    <row r="10" ht="20" customHeight="1">
      <c r="B10" s="18">
        <f>IF(Setup!B11="","",Setup!B11)</f>
        <v/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8">
        <f>IF(B10="","",COUNTIF(C10:AG10,"✓")+COUNTIF(C10:AG10,"x"))</f>
        <v/>
      </c>
      <c r="AI10" s="28">
        <f>IF(OR(B10="",Setup!C11=""),"",MIN(Setup!C11,COUNT($C$4:$AG$4)))</f>
        <v/>
      </c>
      <c r="AJ10" s="29">
        <f>IF(B10="","",AH10/COUNT($C$4:$AG$4))</f>
        <v/>
      </c>
      <c r="AK10" s="29">
        <f>IF(OR(B10="",N(AI10)=0),"",MIN(1,AH10/AI10))</f>
        <v/>
      </c>
    </row>
    <row r="11" ht="20" customHeight="1">
      <c r="B11" s="18">
        <f>IF(Setup!B12="","",Setup!B12)</f>
        <v/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8">
        <f>IF(B11="","",COUNTIF(C11:AG11,"✓")+COUNTIF(C11:AG11,"x"))</f>
        <v/>
      </c>
      <c r="AI11" s="28">
        <f>IF(OR(B11="",Setup!C12=""),"",MIN(Setup!C12,COUNT($C$4:$AG$4)))</f>
        <v/>
      </c>
      <c r="AJ11" s="29">
        <f>IF(B11="","",AH11/COUNT($C$4:$AG$4))</f>
        <v/>
      </c>
      <c r="AK11" s="29">
        <f>IF(OR(B11="",N(AI11)=0),"",MIN(1,AH11/AI11))</f>
        <v/>
      </c>
    </row>
    <row r="12" ht="20" customHeight="1">
      <c r="B12" s="18">
        <f>IF(Setup!B13="","",Setup!B13)</f>
        <v/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8">
        <f>IF(B12="","",COUNTIF(C12:AG12,"✓")+COUNTIF(C12:AG12,"x"))</f>
        <v/>
      </c>
      <c r="AI12" s="28">
        <f>IF(OR(B12="",Setup!C13=""),"",MIN(Setup!C13,COUNT($C$4:$AG$4)))</f>
        <v/>
      </c>
      <c r="AJ12" s="29">
        <f>IF(B12="","",AH12/COUNT($C$4:$AG$4))</f>
        <v/>
      </c>
      <c r="AK12" s="29">
        <f>IF(OR(B12="",N(AI12)=0),"",MIN(1,AH12/AI12))</f>
        <v/>
      </c>
    </row>
    <row r="13" ht="20" customHeight="1">
      <c r="B13" s="18">
        <f>IF(Setup!B14="","",Setup!B14)</f>
        <v/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8">
        <f>IF(B13="","",COUNTIF(C13:AG13,"✓")+COUNTIF(C13:AG13,"x"))</f>
        <v/>
      </c>
      <c r="AI13" s="28">
        <f>IF(OR(B13="",Setup!C14=""),"",MIN(Setup!C14,COUNT($C$4:$AG$4)))</f>
        <v/>
      </c>
      <c r="AJ13" s="29">
        <f>IF(B13="","",AH13/COUNT($C$4:$AG$4))</f>
        <v/>
      </c>
      <c r="AK13" s="29">
        <f>IF(OR(B13="",N(AI13)=0),"",MIN(1,AH13/AI13))</f>
        <v/>
      </c>
    </row>
    <row r="14" ht="20" customHeight="1">
      <c r="B14" s="18">
        <f>IF(Setup!B15="","",Setup!B15)</f>
        <v/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8">
        <f>IF(B14="","",COUNTIF(C14:AG14,"✓")+COUNTIF(C14:AG14,"x"))</f>
        <v/>
      </c>
      <c r="AI14" s="28">
        <f>IF(OR(B14="",Setup!C15=""),"",MIN(Setup!C15,COUNT($C$4:$AG$4)))</f>
        <v/>
      </c>
      <c r="AJ14" s="29">
        <f>IF(B14="","",AH14/COUNT($C$4:$AG$4))</f>
        <v/>
      </c>
      <c r="AK14" s="29">
        <f>IF(OR(B14="",N(AI14)=0),"",MIN(1,AH14/AI14))</f>
        <v/>
      </c>
    </row>
    <row r="15" ht="20" customHeight="1">
      <c r="B15" s="18">
        <f>IF(Setup!B16="","",Setup!B16)</f>
        <v/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8">
        <f>IF(B15="","",COUNTIF(C15:AG15,"✓")+COUNTIF(C15:AG15,"x"))</f>
        <v/>
      </c>
      <c r="AI15" s="28">
        <f>IF(OR(B15="",Setup!C16=""),"",MIN(Setup!C16,COUNT($C$4:$AG$4)))</f>
        <v/>
      </c>
      <c r="AJ15" s="29">
        <f>IF(B15="","",AH15/COUNT($C$4:$AG$4))</f>
        <v/>
      </c>
      <c r="AK15" s="29">
        <f>IF(OR(B15="",N(AI15)=0),"",MIN(1,AH15/AI15))</f>
        <v/>
      </c>
    </row>
    <row r="16" ht="20" customHeight="1">
      <c r="B16" s="18">
        <f>IF(Setup!B17="","",Setup!B17)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8">
        <f>IF(B16="","",COUNTIF(C16:AG16,"✓")+COUNTIF(C16:AG16,"x"))</f>
        <v/>
      </c>
      <c r="AI16" s="28">
        <f>IF(OR(B16="",Setup!C17=""),"",MIN(Setup!C17,COUNT($C$4:$AG$4)))</f>
        <v/>
      </c>
      <c r="AJ16" s="29">
        <f>IF(B16="","",AH16/COUNT($C$4:$AG$4))</f>
        <v/>
      </c>
      <c r="AK16" s="29">
        <f>IF(OR(B16="",N(AI16)=0),"",MIN(1,AH16/AI16))</f>
        <v/>
      </c>
    </row>
    <row r="17" ht="20" customHeight="1">
      <c r="B17" s="18">
        <f>IF(Setup!B18="","",Setup!B18)</f>
        <v/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8">
        <f>IF(B17="","",COUNTIF(C17:AG17,"✓")+COUNTIF(C17:AG17,"x"))</f>
        <v/>
      </c>
      <c r="AI17" s="28">
        <f>IF(OR(B17="",Setup!C18=""),"",MIN(Setup!C18,COUNT($C$4:$AG$4)))</f>
        <v/>
      </c>
      <c r="AJ17" s="29">
        <f>IF(B17="","",AH17/COUNT($C$4:$AG$4))</f>
        <v/>
      </c>
      <c r="AK17" s="29">
        <f>IF(OR(B17="",N(AI17)=0),"",MIN(1,AH17/AI17))</f>
        <v/>
      </c>
    </row>
    <row r="18" ht="20" customHeight="1">
      <c r="B18" s="18">
        <f>IF(Setup!B19="","",Setup!B19)</f>
        <v/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8">
        <f>IF(B18="","",COUNTIF(C18:AG18,"✓")+COUNTIF(C18:AG18,"x"))</f>
        <v/>
      </c>
      <c r="AI18" s="28">
        <f>IF(OR(B18="",Setup!C19=""),"",MIN(Setup!C19,COUNT($C$4:$AG$4)))</f>
        <v/>
      </c>
      <c r="AJ18" s="29">
        <f>IF(B18="","",AH18/COUNT($C$4:$AG$4))</f>
        <v/>
      </c>
      <c r="AK18" s="29">
        <f>IF(OR(B18="",N(AI18)=0),"",MIN(1,AH18/AI18))</f>
        <v/>
      </c>
    </row>
    <row r="19" ht="20" customHeight="1">
      <c r="B19" s="18">
        <f>IF(Setup!B20="","",Setup!B20)</f>
        <v/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8">
        <f>IF(B19="","",COUNTIF(C19:AG19,"✓")+COUNTIF(C19:AG19,"x"))</f>
        <v/>
      </c>
      <c r="AI19" s="28">
        <f>IF(OR(B19="",Setup!C20=""),"",MIN(Setup!C20,COUNT($C$4:$AG$4)))</f>
        <v/>
      </c>
      <c r="AJ19" s="29">
        <f>IF(B19="","",AH19/COUNT($C$4:$AG$4))</f>
        <v/>
      </c>
      <c r="AK19" s="29">
        <f>IF(OR(B19="",N(AI19)=0),"",MIN(1,AH19/AI19))</f>
        <v/>
      </c>
    </row>
    <row r="20" ht="20" customHeight="1">
      <c r="B20" s="18">
        <f>IF(Setup!B21="","",Setup!B21)</f>
        <v/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8">
        <f>IF(B20="","",COUNTIF(C20:AG20,"✓")+COUNTIF(C20:AG20,"x"))</f>
        <v/>
      </c>
      <c r="AI20" s="28">
        <f>IF(OR(B20="",Setup!C21=""),"",MIN(Setup!C21,COUNT($C$4:$AG$4)))</f>
        <v/>
      </c>
      <c r="AJ20" s="29">
        <f>IF(B20="","",AH20/COUNT($C$4:$AG$4))</f>
        <v/>
      </c>
      <c r="AK20" s="29">
        <f>IF(OR(B20="",N(AI20)=0),"",MIN(1,AH20/AI20))</f>
        <v/>
      </c>
    </row>
    <row r="21">
      <c r="B21" s="30" t="inlineStr">
        <is>
          <t>Day complete</t>
        </is>
      </c>
      <c r="C21" s="31">
        <f>IF(OR(C4="",COUNTIF($B$6:$B$20,"?*")=0),"",(COUNTIF(C6:C20,"✓")+COUNTIF(C6:C20,"x"))/COUNTIF($B$6:$B$20,"?*"))</f>
        <v/>
      </c>
      <c r="D21" s="31">
        <f>IF(OR(D4="",COUNTIF($B$6:$B$20,"?*")=0),"",(COUNTIF(D6:D20,"✓")+COUNTIF(D6:D20,"x"))/COUNTIF($B$6:$B$20,"?*"))</f>
        <v/>
      </c>
      <c r="E21" s="31">
        <f>IF(OR(E4="",COUNTIF($B$6:$B$20,"?*")=0),"",(COUNTIF(E6:E20,"✓")+COUNTIF(E6:E20,"x"))/COUNTIF($B$6:$B$20,"?*"))</f>
        <v/>
      </c>
      <c r="F21" s="31">
        <f>IF(OR(F4="",COUNTIF($B$6:$B$20,"?*")=0),"",(COUNTIF(F6:F20,"✓")+COUNTIF(F6:F20,"x"))/COUNTIF($B$6:$B$20,"?*"))</f>
        <v/>
      </c>
      <c r="G21" s="31">
        <f>IF(OR(G4="",COUNTIF($B$6:$B$20,"?*")=0),"",(COUNTIF(G6:G20,"✓")+COUNTIF(G6:G20,"x"))/COUNTIF($B$6:$B$20,"?*"))</f>
        <v/>
      </c>
      <c r="H21" s="31">
        <f>IF(OR(H4="",COUNTIF($B$6:$B$20,"?*")=0),"",(COUNTIF(H6:H20,"✓")+COUNTIF(H6:H20,"x"))/COUNTIF($B$6:$B$20,"?*"))</f>
        <v/>
      </c>
      <c r="I21" s="31">
        <f>IF(OR(I4="",COUNTIF($B$6:$B$20,"?*")=0),"",(COUNTIF(I6:I20,"✓")+COUNTIF(I6:I20,"x"))/COUNTIF($B$6:$B$20,"?*"))</f>
        <v/>
      </c>
      <c r="J21" s="31">
        <f>IF(OR(J4="",COUNTIF($B$6:$B$20,"?*")=0),"",(COUNTIF(J6:J20,"✓")+COUNTIF(J6:J20,"x"))/COUNTIF($B$6:$B$20,"?*"))</f>
        <v/>
      </c>
      <c r="K21" s="31">
        <f>IF(OR(K4="",COUNTIF($B$6:$B$20,"?*")=0),"",(COUNTIF(K6:K20,"✓")+COUNTIF(K6:K20,"x"))/COUNTIF($B$6:$B$20,"?*"))</f>
        <v/>
      </c>
      <c r="L21" s="31">
        <f>IF(OR(L4="",COUNTIF($B$6:$B$20,"?*")=0),"",(COUNTIF(L6:L20,"✓")+COUNTIF(L6:L20,"x"))/COUNTIF($B$6:$B$20,"?*"))</f>
        <v/>
      </c>
      <c r="M21" s="31">
        <f>IF(OR(M4="",COUNTIF($B$6:$B$20,"?*")=0),"",(COUNTIF(M6:M20,"✓")+COUNTIF(M6:M20,"x"))/COUNTIF($B$6:$B$20,"?*"))</f>
        <v/>
      </c>
      <c r="N21" s="31">
        <f>IF(OR(N4="",COUNTIF($B$6:$B$20,"?*")=0),"",(COUNTIF(N6:N20,"✓")+COUNTIF(N6:N20,"x"))/COUNTIF($B$6:$B$20,"?*"))</f>
        <v/>
      </c>
      <c r="O21" s="31">
        <f>IF(OR(O4="",COUNTIF($B$6:$B$20,"?*")=0),"",(COUNTIF(O6:O20,"✓")+COUNTIF(O6:O20,"x"))/COUNTIF($B$6:$B$20,"?*"))</f>
        <v/>
      </c>
      <c r="P21" s="31">
        <f>IF(OR(P4="",COUNTIF($B$6:$B$20,"?*")=0),"",(COUNTIF(P6:P20,"✓")+COUNTIF(P6:P20,"x"))/COUNTIF($B$6:$B$20,"?*"))</f>
        <v/>
      </c>
      <c r="Q21" s="31">
        <f>IF(OR(Q4="",COUNTIF($B$6:$B$20,"?*")=0),"",(COUNTIF(Q6:Q20,"✓")+COUNTIF(Q6:Q20,"x"))/COUNTIF($B$6:$B$20,"?*"))</f>
        <v/>
      </c>
      <c r="R21" s="31">
        <f>IF(OR(R4="",COUNTIF($B$6:$B$20,"?*")=0),"",(COUNTIF(R6:R20,"✓")+COUNTIF(R6:R20,"x"))/COUNTIF($B$6:$B$20,"?*"))</f>
        <v/>
      </c>
      <c r="S21" s="31">
        <f>IF(OR(S4="",COUNTIF($B$6:$B$20,"?*")=0),"",(COUNTIF(S6:S20,"✓")+COUNTIF(S6:S20,"x"))/COUNTIF($B$6:$B$20,"?*"))</f>
        <v/>
      </c>
      <c r="T21" s="31">
        <f>IF(OR(T4="",COUNTIF($B$6:$B$20,"?*")=0),"",(COUNTIF(T6:T20,"✓")+COUNTIF(T6:T20,"x"))/COUNTIF($B$6:$B$20,"?*"))</f>
        <v/>
      </c>
      <c r="U21" s="31">
        <f>IF(OR(U4="",COUNTIF($B$6:$B$20,"?*")=0),"",(COUNTIF(U6:U20,"✓")+COUNTIF(U6:U20,"x"))/COUNTIF($B$6:$B$20,"?*"))</f>
        <v/>
      </c>
      <c r="V21" s="31">
        <f>IF(OR(V4="",COUNTIF($B$6:$B$20,"?*")=0),"",(COUNTIF(V6:V20,"✓")+COUNTIF(V6:V20,"x"))/COUNTIF($B$6:$B$20,"?*"))</f>
        <v/>
      </c>
      <c r="W21" s="31">
        <f>IF(OR(W4="",COUNTIF($B$6:$B$20,"?*")=0),"",(COUNTIF(W6:W20,"✓")+COUNTIF(W6:W20,"x"))/COUNTIF($B$6:$B$20,"?*"))</f>
        <v/>
      </c>
      <c r="X21" s="31">
        <f>IF(OR(X4="",COUNTIF($B$6:$B$20,"?*")=0),"",(COUNTIF(X6:X20,"✓")+COUNTIF(X6:X20,"x"))/COUNTIF($B$6:$B$20,"?*"))</f>
        <v/>
      </c>
      <c r="Y21" s="31">
        <f>IF(OR(Y4="",COUNTIF($B$6:$B$20,"?*")=0),"",(COUNTIF(Y6:Y20,"✓")+COUNTIF(Y6:Y20,"x"))/COUNTIF($B$6:$B$20,"?*"))</f>
        <v/>
      </c>
      <c r="Z21" s="31">
        <f>IF(OR(Z4="",COUNTIF($B$6:$B$20,"?*")=0),"",(COUNTIF(Z6:Z20,"✓")+COUNTIF(Z6:Z20,"x"))/COUNTIF($B$6:$B$20,"?*"))</f>
        <v/>
      </c>
      <c r="AA21" s="31">
        <f>IF(OR(AA4="",COUNTIF($B$6:$B$20,"?*")=0),"",(COUNTIF(AA6:AA20,"✓")+COUNTIF(AA6:AA20,"x"))/COUNTIF($B$6:$B$20,"?*"))</f>
        <v/>
      </c>
      <c r="AB21" s="31">
        <f>IF(OR(AB4="",COUNTIF($B$6:$B$20,"?*")=0),"",(COUNTIF(AB6:AB20,"✓")+COUNTIF(AB6:AB20,"x"))/COUNTIF($B$6:$B$20,"?*"))</f>
        <v/>
      </c>
      <c r="AC21" s="31">
        <f>IF(OR(AC4="",COUNTIF($B$6:$B$20,"?*")=0),"",(COUNTIF(AC6:AC20,"✓")+COUNTIF(AC6:AC20,"x"))/COUNTIF($B$6:$B$20,"?*"))</f>
        <v/>
      </c>
      <c r="AD21" s="31">
        <f>IF(OR(AD4="",COUNTIF($B$6:$B$20,"?*")=0),"",(COUNTIF(AD6:AD20,"✓")+COUNTIF(AD6:AD20,"x"))/COUNTIF($B$6:$B$20,"?*"))</f>
        <v/>
      </c>
      <c r="AE21" s="31">
        <f>IF(OR(AE4="",COUNTIF($B$6:$B$20,"?*")=0),"",(COUNTIF(AE6:AE20,"✓")+COUNTIF(AE6:AE20,"x"))/COUNTIF($B$6:$B$20,"?*"))</f>
        <v/>
      </c>
      <c r="AF21" s="31">
        <f>IF(OR(AF4="",COUNTIF($B$6:$B$20,"?*")=0),"",(COUNTIF(AF6:AF20,"✓")+COUNTIF(AF6:AF20,"x"))/COUNTIF($B$6:$B$20,"?*"))</f>
        <v/>
      </c>
      <c r="AG21" s="31">
        <f>IF(OR(AG4="",COUNTIF($B$6:$B$20,"?*")=0),"",(COUNTIF(AG6:AG20,"✓")+COUNTIF(AG6:AG20,"x"))/COUNTIF($B$6:$B$20,"?*"))</f>
        <v/>
      </c>
      <c r="AJ21" s="32">
        <f>IFERROR(AVERAGE(AJ6:AJ20),"")</f>
        <v/>
      </c>
    </row>
  </sheetData>
  <conditionalFormatting sqref="C6:AG20">
    <cfRule type="expression" priority="1" dxfId="0">
      <formula>C$4=""</formula>
    </cfRule>
    <cfRule type="expression" priority="2" dxfId="1">
      <formula>OR(C6="✓",C6="x")</formula>
    </cfRule>
  </conditionalFormatting>
  <conditionalFormatting sqref="C4:AG5">
    <cfRule type="expression" priority="3" dxfId="1">
      <formula>C$4=TODAY()</formula>
    </cfRule>
  </conditionalFormatting>
  <conditionalFormatting sqref="C21:AG21">
    <cfRule type="colorScale" priority="4">
      <colorScale>
        <cfvo type="num" val="0"/>
        <cfvo type="num" val="1"/>
        <color rgb="00FFFFFF"/>
        <color rgb="0034D399"/>
      </colorScale>
    </cfRule>
  </conditionalFormatting>
  <conditionalFormatting sqref="AK6:AK20">
    <cfRule type="dataBar" priority="5">
      <dataBar>
        <cfvo type="num" val="0"/>
        <cfvo type="num" val="1"/>
        <color rgb="0034D399"/>
      </dataBar>
    </cfRule>
  </conditionalFormatting>
  <dataValidations count="1">
    <dataValidation sqref="C6:AG20" showDropDown="0" showInputMessage="0" showErrorMessage="0" allowBlank="1" error="Use ✓ or x to mark a habit as done." type="list">
      <formula1>"✓,x"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34D399"/>
    <outlinePr summaryBelow="1" summaryRight="1"/>
    <pageSetUpPr fitToPage="1"/>
  </sheetPr>
  <dimension ref="A1:AK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8" customWidth="1" min="34" max="34"/>
    <col width="8" customWidth="1" min="35" max="35"/>
    <col width="10" customWidth="1" min="36" max="36"/>
    <col width="10" customWidth="1" min="37" max="37"/>
  </cols>
  <sheetData>
    <row r="1" ht="30" customHeight="1">
      <c r="A1" s="1">
        <f>TEXT(DATE(Setup!$C$4,2,1),"mmmm yyyy")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20" customHeight="1">
      <c r="A2" s="3" t="inlineStr">
        <is>
          <t>Mark ✓ when done  ·  علّم ✓ عند الإنجاز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4">
      <c r="B4" s="21" t="inlineStr">
        <is>
          <t>Habit</t>
        </is>
      </c>
      <c r="C4" s="22">
        <f>IF(MONTH(DATE(Setup!$C$4,2,1))=2,DATE(Setup!$C$4,2,1),"")</f>
        <v/>
      </c>
      <c r="D4" s="22">
        <f>IF(MONTH(DATE(Setup!$C$4,2,2))=2,DATE(Setup!$C$4,2,2),"")</f>
        <v/>
      </c>
      <c r="E4" s="22">
        <f>IF(MONTH(DATE(Setup!$C$4,2,3))=2,DATE(Setup!$C$4,2,3),"")</f>
        <v/>
      </c>
      <c r="F4" s="22">
        <f>IF(MONTH(DATE(Setup!$C$4,2,4))=2,DATE(Setup!$C$4,2,4),"")</f>
        <v/>
      </c>
      <c r="G4" s="22">
        <f>IF(MONTH(DATE(Setup!$C$4,2,5))=2,DATE(Setup!$C$4,2,5),"")</f>
        <v/>
      </c>
      <c r="H4" s="22">
        <f>IF(MONTH(DATE(Setup!$C$4,2,6))=2,DATE(Setup!$C$4,2,6),"")</f>
        <v/>
      </c>
      <c r="I4" s="22">
        <f>IF(MONTH(DATE(Setup!$C$4,2,7))=2,DATE(Setup!$C$4,2,7),"")</f>
        <v/>
      </c>
      <c r="J4" s="22">
        <f>IF(MONTH(DATE(Setup!$C$4,2,8))=2,DATE(Setup!$C$4,2,8),"")</f>
        <v/>
      </c>
      <c r="K4" s="22">
        <f>IF(MONTH(DATE(Setup!$C$4,2,9))=2,DATE(Setup!$C$4,2,9),"")</f>
        <v/>
      </c>
      <c r="L4" s="22">
        <f>IF(MONTH(DATE(Setup!$C$4,2,10))=2,DATE(Setup!$C$4,2,10),"")</f>
        <v/>
      </c>
      <c r="M4" s="22">
        <f>IF(MONTH(DATE(Setup!$C$4,2,11))=2,DATE(Setup!$C$4,2,11),"")</f>
        <v/>
      </c>
      <c r="N4" s="22">
        <f>IF(MONTH(DATE(Setup!$C$4,2,12))=2,DATE(Setup!$C$4,2,12),"")</f>
        <v/>
      </c>
      <c r="O4" s="22">
        <f>IF(MONTH(DATE(Setup!$C$4,2,13))=2,DATE(Setup!$C$4,2,13),"")</f>
        <v/>
      </c>
      <c r="P4" s="22">
        <f>IF(MONTH(DATE(Setup!$C$4,2,14))=2,DATE(Setup!$C$4,2,14),"")</f>
        <v/>
      </c>
      <c r="Q4" s="22">
        <f>IF(MONTH(DATE(Setup!$C$4,2,15))=2,DATE(Setup!$C$4,2,15),"")</f>
        <v/>
      </c>
      <c r="R4" s="22">
        <f>IF(MONTH(DATE(Setup!$C$4,2,16))=2,DATE(Setup!$C$4,2,16),"")</f>
        <v/>
      </c>
      <c r="S4" s="22">
        <f>IF(MONTH(DATE(Setup!$C$4,2,17))=2,DATE(Setup!$C$4,2,17),"")</f>
        <v/>
      </c>
      <c r="T4" s="22">
        <f>IF(MONTH(DATE(Setup!$C$4,2,18))=2,DATE(Setup!$C$4,2,18),"")</f>
        <v/>
      </c>
      <c r="U4" s="22">
        <f>IF(MONTH(DATE(Setup!$C$4,2,19))=2,DATE(Setup!$C$4,2,19),"")</f>
        <v/>
      </c>
      <c r="V4" s="22">
        <f>IF(MONTH(DATE(Setup!$C$4,2,20))=2,DATE(Setup!$C$4,2,20),"")</f>
        <v/>
      </c>
      <c r="W4" s="22">
        <f>IF(MONTH(DATE(Setup!$C$4,2,21))=2,DATE(Setup!$C$4,2,21),"")</f>
        <v/>
      </c>
      <c r="X4" s="22">
        <f>IF(MONTH(DATE(Setup!$C$4,2,22))=2,DATE(Setup!$C$4,2,22),"")</f>
        <v/>
      </c>
      <c r="Y4" s="22">
        <f>IF(MONTH(DATE(Setup!$C$4,2,23))=2,DATE(Setup!$C$4,2,23),"")</f>
        <v/>
      </c>
      <c r="Z4" s="22">
        <f>IF(MONTH(DATE(Setup!$C$4,2,24))=2,DATE(Setup!$C$4,2,24),"")</f>
        <v/>
      </c>
      <c r="AA4" s="22">
        <f>IF(MONTH(DATE(Setup!$C$4,2,25))=2,DATE(Setup!$C$4,2,25),"")</f>
        <v/>
      </c>
      <c r="AB4" s="22">
        <f>IF(MONTH(DATE(Setup!$C$4,2,26))=2,DATE(Setup!$C$4,2,26),"")</f>
        <v/>
      </c>
      <c r="AC4" s="22">
        <f>IF(MONTH(DATE(Setup!$C$4,2,27))=2,DATE(Setup!$C$4,2,27),"")</f>
        <v/>
      </c>
      <c r="AD4" s="22">
        <f>IF(MONTH(DATE(Setup!$C$4,2,28))=2,DATE(Setup!$C$4,2,28),"")</f>
        <v/>
      </c>
      <c r="AE4" s="22">
        <f>IF(MONTH(DATE(Setup!$C$4,2,29))=2,DATE(Setup!$C$4,2,29),"")</f>
        <v/>
      </c>
      <c r="AF4" s="22">
        <f>IF(MONTH(DATE(Setup!$C$4,2,30))=2,DATE(Setup!$C$4,2,30),"")</f>
        <v/>
      </c>
      <c r="AG4" s="22">
        <f>IF(MONTH(DATE(Setup!$C$4,2,31))=2,DATE(Setup!$C$4,2,31),"")</f>
        <v/>
      </c>
      <c r="AH4" s="23" t="inlineStr">
        <is>
          <t>Done</t>
        </is>
      </c>
      <c r="AI4" s="23" t="inlineStr">
        <is>
          <t>Goal</t>
        </is>
      </c>
      <c r="AJ4" s="23" t="inlineStr">
        <is>
          <t>Rate</t>
        </is>
      </c>
      <c r="AK4" s="23" t="inlineStr">
        <is>
          <t>vs goal</t>
        </is>
      </c>
    </row>
    <row r="5">
      <c r="B5" s="24" t="n"/>
      <c r="C5" s="25">
        <f>IF(C4="","",MID("SMTWTFS",WEEKDAY(C4),1))</f>
        <v/>
      </c>
      <c r="D5" s="25">
        <f>IF(D4="","",MID("SMTWTFS",WEEKDAY(D4),1))</f>
        <v/>
      </c>
      <c r="E5" s="25">
        <f>IF(E4="","",MID("SMTWTFS",WEEKDAY(E4),1))</f>
        <v/>
      </c>
      <c r="F5" s="25">
        <f>IF(F4="","",MID("SMTWTFS",WEEKDAY(F4),1))</f>
        <v/>
      </c>
      <c r="G5" s="25">
        <f>IF(G4="","",MID("SMTWTFS",WEEKDAY(G4),1))</f>
        <v/>
      </c>
      <c r="H5" s="25">
        <f>IF(H4="","",MID("SMTWTFS",WEEKDAY(H4),1))</f>
        <v/>
      </c>
      <c r="I5" s="25">
        <f>IF(I4="","",MID("SMTWTFS",WEEKDAY(I4),1))</f>
        <v/>
      </c>
      <c r="J5" s="25">
        <f>IF(J4="","",MID("SMTWTFS",WEEKDAY(J4),1))</f>
        <v/>
      </c>
      <c r="K5" s="25">
        <f>IF(K4="","",MID("SMTWTFS",WEEKDAY(K4),1))</f>
        <v/>
      </c>
      <c r="L5" s="25">
        <f>IF(L4="","",MID("SMTWTFS",WEEKDAY(L4),1))</f>
        <v/>
      </c>
      <c r="M5" s="25">
        <f>IF(M4="","",MID("SMTWTFS",WEEKDAY(M4),1))</f>
        <v/>
      </c>
      <c r="N5" s="25">
        <f>IF(N4="","",MID("SMTWTFS",WEEKDAY(N4),1))</f>
        <v/>
      </c>
      <c r="O5" s="25">
        <f>IF(O4="","",MID("SMTWTFS",WEEKDAY(O4),1))</f>
        <v/>
      </c>
      <c r="P5" s="25">
        <f>IF(P4="","",MID("SMTWTFS",WEEKDAY(P4),1))</f>
        <v/>
      </c>
      <c r="Q5" s="25">
        <f>IF(Q4="","",MID("SMTWTFS",WEEKDAY(Q4),1))</f>
        <v/>
      </c>
      <c r="R5" s="25">
        <f>IF(R4="","",MID("SMTWTFS",WEEKDAY(R4),1))</f>
        <v/>
      </c>
      <c r="S5" s="25">
        <f>IF(S4="","",MID("SMTWTFS",WEEKDAY(S4),1))</f>
        <v/>
      </c>
      <c r="T5" s="25">
        <f>IF(T4="","",MID("SMTWTFS",WEEKDAY(T4),1))</f>
        <v/>
      </c>
      <c r="U5" s="25">
        <f>IF(U4="","",MID("SMTWTFS",WEEKDAY(U4),1))</f>
        <v/>
      </c>
      <c r="V5" s="25">
        <f>IF(V4="","",MID("SMTWTFS",WEEKDAY(V4),1))</f>
        <v/>
      </c>
      <c r="W5" s="25">
        <f>IF(W4="","",MID("SMTWTFS",WEEKDAY(W4),1))</f>
        <v/>
      </c>
      <c r="X5" s="25">
        <f>IF(X4="","",MID("SMTWTFS",WEEKDAY(X4),1))</f>
        <v/>
      </c>
      <c r="Y5" s="25">
        <f>IF(Y4="","",MID("SMTWTFS",WEEKDAY(Y4),1))</f>
        <v/>
      </c>
      <c r="Z5" s="25">
        <f>IF(Z4="","",MID("SMTWTFS",WEEKDAY(Z4),1))</f>
        <v/>
      </c>
      <c r="AA5" s="25">
        <f>IF(AA4="","",MID("SMTWTFS",WEEKDAY(AA4),1))</f>
        <v/>
      </c>
      <c r="AB5" s="25">
        <f>IF(AB4="","",MID("SMTWTFS",WEEKDAY(AB4),1))</f>
        <v/>
      </c>
      <c r="AC5" s="25">
        <f>IF(AC4="","",MID("SMTWTFS",WEEKDAY(AC4),1))</f>
        <v/>
      </c>
      <c r="AD5" s="25">
        <f>IF(AD4="","",MID("SMTWTFS",WEEKDAY(AD4),1))</f>
        <v/>
      </c>
      <c r="AE5" s="25">
        <f>IF(AE4="","",MID("SMTWTFS",WEEKDAY(AE4),1))</f>
        <v/>
      </c>
      <c r="AF5" s="25">
        <f>IF(AF4="","",MID("SMTWTFS",WEEKDAY(AF4),1))</f>
        <v/>
      </c>
      <c r="AG5" s="25">
        <f>IF(AG4="","",MID("SMTWTFS",WEEKDAY(AG4),1))</f>
        <v/>
      </c>
      <c r="AH5" s="26" t="n"/>
      <c r="AI5" s="26" t="n"/>
      <c r="AJ5" s="26" t="n"/>
      <c r="AK5" s="26" t="n"/>
    </row>
    <row r="6" ht="20" customHeight="1">
      <c r="B6" s="18">
        <f>IF(Setup!B7="","",Setup!B7)</f>
        <v/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8">
        <f>IF(B6="","",COUNTIF(C6:AG6,"✓")+COUNTIF(C6:AG6,"x"))</f>
        <v/>
      </c>
      <c r="AI6" s="28">
        <f>IF(OR(B6="",Setup!C7=""),"",MIN(Setup!C7,COUNT($C$4:$AG$4)))</f>
        <v/>
      </c>
      <c r="AJ6" s="29">
        <f>IF(B6="","",AH6/COUNT($C$4:$AG$4))</f>
        <v/>
      </c>
      <c r="AK6" s="29">
        <f>IF(OR(B6="",N(AI6)=0),"",MIN(1,AH6/AI6))</f>
        <v/>
      </c>
    </row>
    <row r="7" ht="20" customHeight="1">
      <c r="B7" s="18">
        <f>IF(Setup!B8="","",Setup!B8)</f>
        <v/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8">
        <f>IF(B7="","",COUNTIF(C7:AG7,"✓")+COUNTIF(C7:AG7,"x"))</f>
        <v/>
      </c>
      <c r="AI7" s="28">
        <f>IF(OR(B7="",Setup!C8=""),"",MIN(Setup!C8,COUNT($C$4:$AG$4)))</f>
        <v/>
      </c>
      <c r="AJ7" s="29">
        <f>IF(B7="","",AH7/COUNT($C$4:$AG$4))</f>
        <v/>
      </c>
      <c r="AK7" s="29">
        <f>IF(OR(B7="",N(AI7)=0),"",MIN(1,AH7/AI7))</f>
        <v/>
      </c>
    </row>
    <row r="8" ht="20" customHeight="1">
      <c r="B8" s="18">
        <f>IF(Setup!B9="","",Setup!B9)</f>
        <v/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8">
        <f>IF(B8="","",COUNTIF(C8:AG8,"✓")+COUNTIF(C8:AG8,"x"))</f>
        <v/>
      </c>
      <c r="AI8" s="28">
        <f>IF(OR(B8="",Setup!C9=""),"",MIN(Setup!C9,COUNT($C$4:$AG$4)))</f>
        <v/>
      </c>
      <c r="AJ8" s="29">
        <f>IF(B8="","",AH8/COUNT($C$4:$AG$4))</f>
        <v/>
      </c>
      <c r="AK8" s="29">
        <f>IF(OR(B8="",N(AI8)=0),"",MIN(1,AH8/AI8))</f>
        <v/>
      </c>
    </row>
    <row r="9" ht="20" customHeight="1">
      <c r="B9" s="18">
        <f>IF(Setup!B10="","",Setup!B10)</f>
        <v/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8">
        <f>IF(B9="","",COUNTIF(C9:AG9,"✓")+COUNTIF(C9:AG9,"x"))</f>
        <v/>
      </c>
      <c r="AI9" s="28">
        <f>IF(OR(B9="",Setup!C10=""),"",MIN(Setup!C10,COUNT($C$4:$AG$4)))</f>
        <v/>
      </c>
      <c r="AJ9" s="29">
        <f>IF(B9="","",AH9/COUNT($C$4:$AG$4))</f>
        <v/>
      </c>
      <c r="AK9" s="29">
        <f>IF(OR(B9="",N(AI9)=0),"",MIN(1,AH9/AI9))</f>
        <v/>
      </c>
    </row>
    <row r="10" ht="20" customHeight="1">
      <c r="B10" s="18">
        <f>IF(Setup!B11="","",Setup!B11)</f>
        <v/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8">
        <f>IF(B10="","",COUNTIF(C10:AG10,"✓")+COUNTIF(C10:AG10,"x"))</f>
        <v/>
      </c>
      <c r="AI10" s="28">
        <f>IF(OR(B10="",Setup!C11=""),"",MIN(Setup!C11,COUNT($C$4:$AG$4)))</f>
        <v/>
      </c>
      <c r="AJ10" s="29">
        <f>IF(B10="","",AH10/COUNT($C$4:$AG$4))</f>
        <v/>
      </c>
      <c r="AK10" s="29">
        <f>IF(OR(B10="",N(AI10)=0),"",MIN(1,AH10/AI10))</f>
        <v/>
      </c>
    </row>
    <row r="11" ht="20" customHeight="1">
      <c r="B11" s="18">
        <f>IF(Setup!B12="","",Setup!B12)</f>
        <v/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8">
        <f>IF(B11="","",COUNTIF(C11:AG11,"✓")+COUNTIF(C11:AG11,"x"))</f>
        <v/>
      </c>
      <c r="AI11" s="28">
        <f>IF(OR(B11="",Setup!C12=""),"",MIN(Setup!C12,COUNT($C$4:$AG$4)))</f>
        <v/>
      </c>
      <c r="AJ11" s="29">
        <f>IF(B11="","",AH11/COUNT($C$4:$AG$4))</f>
        <v/>
      </c>
      <c r="AK11" s="29">
        <f>IF(OR(B11="",N(AI11)=0),"",MIN(1,AH11/AI11))</f>
        <v/>
      </c>
    </row>
    <row r="12" ht="20" customHeight="1">
      <c r="B12" s="18">
        <f>IF(Setup!B13="","",Setup!B13)</f>
        <v/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8">
        <f>IF(B12="","",COUNTIF(C12:AG12,"✓")+COUNTIF(C12:AG12,"x"))</f>
        <v/>
      </c>
      <c r="AI12" s="28">
        <f>IF(OR(B12="",Setup!C13=""),"",MIN(Setup!C13,COUNT($C$4:$AG$4)))</f>
        <v/>
      </c>
      <c r="AJ12" s="29">
        <f>IF(B12="","",AH12/COUNT($C$4:$AG$4))</f>
        <v/>
      </c>
      <c r="AK12" s="29">
        <f>IF(OR(B12="",N(AI12)=0),"",MIN(1,AH12/AI12))</f>
        <v/>
      </c>
    </row>
    <row r="13" ht="20" customHeight="1">
      <c r="B13" s="18">
        <f>IF(Setup!B14="","",Setup!B14)</f>
        <v/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8">
        <f>IF(B13="","",COUNTIF(C13:AG13,"✓")+COUNTIF(C13:AG13,"x"))</f>
        <v/>
      </c>
      <c r="AI13" s="28">
        <f>IF(OR(B13="",Setup!C14=""),"",MIN(Setup!C14,COUNT($C$4:$AG$4)))</f>
        <v/>
      </c>
      <c r="AJ13" s="29">
        <f>IF(B13="","",AH13/COUNT($C$4:$AG$4))</f>
        <v/>
      </c>
      <c r="AK13" s="29">
        <f>IF(OR(B13="",N(AI13)=0),"",MIN(1,AH13/AI13))</f>
        <v/>
      </c>
    </row>
    <row r="14" ht="20" customHeight="1">
      <c r="B14" s="18">
        <f>IF(Setup!B15="","",Setup!B15)</f>
        <v/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8">
        <f>IF(B14="","",COUNTIF(C14:AG14,"✓")+COUNTIF(C14:AG14,"x"))</f>
        <v/>
      </c>
      <c r="AI14" s="28">
        <f>IF(OR(B14="",Setup!C15=""),"",MIN(Setup!C15,COUNT($C$4:$AG$4)))</f>
        <v/>
      </c>
      <c r="AJ14" s="29">
        <f>IF(B14="","",AH14/COUNT($C$4:$AG$4))</f>
        <v/>
      </c>
      <c r="AK14" s="29">
        <f>IF(OR(B14="",N(AI14)=0),"",MIN(1,AH14/AI14))</f>
        <v/>
      </c>
    </row>
    <row r="15" ht="20" customHeight="1">
      <c r="B15" s="18">
        <f>IF(Setup!B16="","",Setup!B16)</f>
        <v/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8">
        <f>IF(B15="","",COUNTIF(C15:AG15,"✓")+COUNTIF(C15:AG15,"x"))</f>
        <v/>
      </c>
      <c r="AI15" s="28">
        <f>IF(OR(B15="",Setup!C16=""),"",MIN(Setup!C16,COUNT($C$4:$AG$4)))</f>
        <v/>
      </c>
      <c r="AJ15" s="29">
        <f>IF(B15="","",AH15/COUNT($C$4:$AG$4))</f>
        <v/>
      </c>
      <c r="AK15" s="29">
        <f>IF(OR(B15="",N(AI15)=0),"",MIN(1,AH15/AI15))</f>
        <v/>
      </c>
    </row>
    <row r="16" ht="20" customHeight="1">
      <c r="B16" s="18">
        <f>IF(Setup!B17="","",Setup!B17)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8">
        <f>IF(B16="","",COUNTIF(C16:AG16,"✓")+COUNTIF(C16:AG16,"x"))</f>
        <v/>
      </c>
      <c r="AI16" s="28">
        <f>IF(OR(B16="",Setup!C17=""),"",MIN(Setup!C17,COUNT($C$4:$AG$4)))</f>
        <v/>
      </c>
      <c r="AJ16" s="29">
        <f>IF(B16="","",AH16/COUNT($C$4:$AG$4))</f>
        <v/>
      </c>
      <c r="AK16" s="29">
        <f>IF(OR(B16="",N(AI16)=0),"",MIN(1,AH16/AI16))</f>
        <v/>
      </c>
    </row>
    <row r="17" ht="20" customHeight="1">
      <c r="B17" s="18">
        <f>IF(Setup!B18="","",Setup!B18)</f>
        <v/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8">
        <f>IF(B17="","",COUNTIF(C17:AG17,"✓")+COUNTIF(C17:AG17,"x"))</f>
        <v/>
      </c>
      <c r="AI17" s="28">
        <f>IF(OR(B17="",Setup!C18=""),"",MIN(Setup!C18,COUNT($C$4:$AG$4)))</f>
        <v/>
      </c>
      <c r="AJ17" s="29">
        <f>IF(B17="","",AH17/COUNT($C$4:$AG$4))</f>
        <v/>
      </c>
      <c r="AK17" s="29">
        <f>IF(OR(B17="",N(AI17)=0),"",MIN(1,AH17/AI17))</f>
        <v/>
      </c>
    </row>
    <row r="18" ht="20" customHeight="1">
      <c r="B18" s="18">
        <f>IF(Setup!B19="","",Setup!B19)</f>
        <v/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8">
        <f>IF(B18="","",COUNTIF(C18:AG18,"✓")+COUNTIF(C18:AG18,"x"))</f>
        <v/>
      </c>
      <c r="AI18" s="28">
        <f>IF(OR(B18="",Setup!C19=""),"",MIN(Setup!C19,COUNT($C$4:$AG$4)))</f>
        <v/>
      </c>
      <c r="AJ18" s="29">
        <f>IF(B18="","",AH18/COUNT($C$4:$AG$4))</f>
        <v/>
      </c>
      <c r="AK18" s="29">
        <f>IF(OR(B18="",N(AI18)=0),"",MIN(1,AH18/AI18))</f>
        <v/>
      </c>
    </row>
    <row r="19" ht="20" customHeight="1">
      <c r="B19" s="18">
        <f>IF(Setup!B20="","",Setup!B20)</f>
        <v/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8">
        <f>IF(B19="","",COUNTIF(C19:AG19,"✓")+COUNTIF(C19:AG19,"x"))</f>
        <v/>
      </c>
      <c r="AI19" s="28">
        <f>IF(OR(B19="",Setup!C20=""),"",MIN(Setup!C20,COUNT($C$4:$AG$4)))</f>
        <v/>
      </c>
      <c r="AJ19" s="29">
        <f>IF(B19="","",AH19/COUNT($C$4:$AG$4))</f>
        <v/>
      </c>
      <c r="AK19" s="29">
        <f>IF(OR(B19="",N(AI19)=0),"",MIN(1,AH19/AI19))</f>
        <v/>
      </c>
    </row>
    <row r="20" ht="20" customHeight="1">
      <c r="B20" s="18">
        <f>IF(Setup!B21="","",Setup!B21)</f>
        <v/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8">
        <f>IF(B20="","",COUNTIF(C20:AG20,"✓")+COUNTIF(C20:AG20,"x"))</f>
        <v/>
      </c>
      <c r="AI20" s="28">
        <f>IF(OR(B20="",Setup!C21=""),"",MIN(Setup!C21,COUNT($C$4:$AG$4)))</f>
        <v/>
      </c>
      <c r="AJ20" s="29">
        <f>IF(B20="","",AH20/COUNT($C$4:$AG$4))</f>
        <v/>
      </c>
      <c r="AK20" s="29">
        <f>IF(OR(B20="",N(AI20)=0),"",MIN(1,AH20/AI20))</f>
        <v/>
      </c>
    </row>
    <row r="21">
      <c r="B21" s="30" t="inlineStr">
        <is>
          <t>Day complete</t>
        </is>
      </c>
      <c r="C21" s="31">
        <f>IF(OR(C4="",COUNTIF($B$6:$B$20,"?*")=0),"",(COUNTIF(C6:C20,"✓")+COUNTIF(C6:C20,"x"))/COUNTIF($B$6:$B$20,"?*"))</f>
        <v/>
      </c>
      <c r="D21" s="31">
        <f>IF(OR(D4="",COUNTIF($B$6:$B$20,"?*")=0),"",(COUNTIF(D6:D20,"✓")+COUNTIF(D6:D20,"x"))/COUNTIF($B$6:$B$20,"?*"))</f>
        <v/>
      </c>
      <c r="E21" s="31">
        <f>IF(OR(E4="",COUNTIF($B$6:$B$20,"?*")=0),"",(COUNTIF(E6:E20,"✓")+COUNTIF(E6:E20,"x"))/COUNTIF($B$6:$B$20,"?*"))</f>
        <v/>
      </c>
      <c r="F21" s="31">
        <f>IF(OR(F4="",COUNTIF($B$6:$B$20,"?*")=0),"",(COUNTIF(F6:F20,"✓")+COUNTIF(F6:F20,"x"))/COUNTIF($B$6:$B$20,"?*"))</f>
        <v/>
      </c>
      <c r="G21" s="31">
        <f>IF(OR(G4="",COUNTIF($B$6:$B$20,"?*")=0),"",(COUNTIF(G6:G20,"✓")+COUNTIF(G6:G20,"x"))/COUNTIF($B$6:$B$20,"?*"))</f>
        <v/>
      </c>
      <c r="H21" s="31">
        <f>IF(OR(H4="",COUNTIF($B$6:$B$20,"?*")=0),"",(COUNTIF(H6:H20,"✓")+COUNTIF(H6:H20,"x"))/COUNTIF($B$6:$B$20,"?*"))</f>
        <v/>
      </c>
      <c r="I21" s="31">
        <f>IF(OR(I4="",COUNTIF($B$6:$B$20,"?*")=0),"",(COUNTIF(I6:I20,"✓")+COUNTIF(I6:I20,"x"))/COUNTIF($B$6:$B$20,"?*"))</f>
        <v/>
      </c>
      <c r="J21" s="31">
        <f>IF(OR(J4="",COUNTIF($B$6:$B$20,"?*")=0),"",(COUNTIF(J6:J20,"✓")+COUNTIF(J6:J20,"x"))/COUNTIF($B$6:$B$20,"?*"))</f>
        <v/>
      </c>
      <c r="K21" s="31">
        <f>IF(OR(K4="",COUNTIF($B$6:$B$20,"?*")=0),"",(COUNTIF(K6:K20,"✓")+COUNTIF(K6:K20,"x"))/COUNTIF($B$6:$B$20,"?*"))</f>
        <v/>
      </c>
      <c r="L21" s="31">
        <f>IF(OR(L4="",COUNTIF($B$6:$B$20,"?*")=0),"",(COUNTIF(L6:L20,"✓")+COUNTIF(L6:L20,"x"))/COUNTIF($B$6:$B$20,"?*"))</f>
        <v/>
      </c>
      <c r="M21" s="31">
        <f>IF(OR(M4="",COUNTIF($B$6:$B$20,"?*")=0),"",(COUNTIF(M6:M20,"✓")+COUNTIF(M6:M20,"x"))/COUNTIF($B$6:$B$20,"?*"))</f>
        <v/>
      </c>
      <c r="N21" s="31">
        <f>IF(OR(N4="",COUNTIF($B$6:$B$20,"?*")=0),"",(COUNTIF(N6:N20,"✓")+COUNTIF(N6:N20,"x"))/COUNTIF($B$6:$B$20,"?*"))</f>
        <v/>
      </c>
      <c r="O21" s="31">
        <f>IF(OR(O4="",COUNTIF($B$6:$B$20,"?*")=0),"",(COUNTIF(O6:O20,"✓")+COUNTIF(O6:O20,"x"))/COUNTIF($B$6:$B$20,"?*"))</f>
        <v/>
      </c>
      <c r="P21" s="31">
        <f>IF(OR(P4="",COUNTIF($B$6:$B$20,"?*")=0),"",(COUNTIF(P6:P20,"✓")+COUNTIF(P6:P20,"x"))/COUNTIF($B$6:$B$20,"?*"))</f>
        <v/>
      </c>
      <c r="Q21" s="31">
        <f>IF(OR(Q4="",COUNTIF($B$6:$B$20,"?*")=0),"",(COUNTIF(Q6:Q20,"✓")+COUNTIF(Q6:Q20,"x"))/COUNTIF($B$6:$B$20,"?*"))</f>
        <v/>
      </c>
      <c r="R21" s="31">
        <f>IF(OR(R4="",COUNTIF($B$6:$B$20,"?*")=0),"",(COUNTIF(R6:R20,"✓")+COUNTIF(R6:R20,"x"))/COUNTIF($B$6:$B$20,"?*"))</f>
        <v/>
      </c>
      <c r="S21" s="31">
        <f>IF(OR(S4="",COUNTIF($B$6:$B$20,"?*")=0),"",(COUNTIF(S6:S20,"✓")+COUNTIF(S6:S20,"x"))/COUNTIF($B$6:$B$20,"?*"))</f>
        <v/>
      </c>
      <c r="T21" s="31">
        <f>IF(OR(T4="",COUNTIF($B$6:$B$20,"?*")=0),"",(COUNTIF(T6:T20,"✓")+COUNTIF(T6:T20,"x"))/COUNTIF($B$6:$B$20,"?*"))</f>
        <v/>
      </c>
      <c r="U21" s="31">
        <f>IF(OR(U4="",COUNTIF($B$6:$B$20,"?*")=0),"",(COUNTIF(U6:U20,"✓")+COUNTIF(U6:U20,"x"))/COUNTIF($B$6:$B$20,"?*"))</f>
        <v/>
      </c>
      <c r="V21" s="31">
        <f>IF(OR(V4="",COUNTIF($B$6:$B$20,"?*")=0),"",(COUNTIF(V6:V20,"✓")+COUNTIF(V6:V20,"x"))/COUNTIF($B$6:$B$20,"?*"))</f>
        <v/>
      </c>
      <c r="W21" s="31">
        <f>IF(OR(W4="",COUNTIF($B$6:$B$20,"?*")=0),"",(COUNTIF(W6:W20,"✓")+COUNTIF(W6:W20,"x"))/COUNTIF($B$6:$B$20,"?*"))</f>
        <v/>
      </c>
      <c r="X21" s="31">
        <f>IF(OR(X4="",COUNTIF($B$6:$B$20,"?*")=0),"",(COUNTIF(X6:X20,"✓")+COUNTIF(X6:X20,"x"))/COUNTIF($B$6:$B$20,"?*"))</f>
        <v/>
      </c>
      <c r="Y21" s="31">
        <f>IF(OR(Y4="",COUNTIF($B$6:$B$20,"?*")=0),"",(COUNTIF(Y6:Y20,"✓")+COUNTIF(Y6:Y20,"x"))/COUNTIF($B$6:$B$20,"?*"))</f>
        <v/>
      </c>
      <c r="Z21" s="31">
        <f>IF(OR(Z4="",COUNTIF($B$6:$B$20,"?*")=0),"",(COUNTIF(Z6:Z20,"✓")+COUNTIF(Z6:Z20,"x"))/COUNTIF($B$6:$B$20,"?*"))</f>
        <v/>
      </c>
      <c r="AA21" s="31">
        <f>IF(OR(AA4="",COUNTIF($B$6:$B$20,"?*")=0),"",(COUNTIF(AA6:AA20,"✓")+COUNTIF(AA6:AA20,"x"))/COUNTIF($B$6:$B$20,"?*"))</f>
        <v/>
      </c>
      <c r="AB21" s="31">
        <f>IF(OR(AB4="",COUNTIF($B$6:$B$20,"?*")=0),"",(COUNTIF(AB6:AB20,"✓")+COUNTIF(AB6:AB20,"x"))/COUNTIF($B$6:$B$20,"?*"))</f>
        <v/>
      </c>
      <c r="AC21" s="31">
        <f>IF(OR(AC4="",COUNTIF($B$6:$B$20,"?*")=0),"",(COUNTIF(AC6:AC20,"✓")+COUNTIF(AC6:AC20,"x"))/COUNTIF($B$6:$B$20,"?*"))</f>
        <v/>
      </c>
      <c r="AD21" s="31">
        <f>IF(OR(AD4="",COUNTIF($B$6:$B$20,"?*")=0),"",(COUNTIF(AD6:AD20,"✓")+COUNTIF(AD6:AD20,"x"))/COUNTIF($B$6:$B$20,"?*"))</f>
        <v/>
      </c>
      <c r="AE21" s="31">
        <f>IF(OR(AE4="",COUNTIF($B$6:$B$20,"?*")=0),"",(COUNTIF(AE6:AE20,"✓")+COUNTIF(AE6:AE20,"x"))/COUNTIF($B$6:$B$20,"?*"))</f>
        <v/>
      </c>
      <c r="AF21" s="31">
        <f>IF(OR(AF4="",COUNTIF($B$6:$B$20,"?*")=0),"",(COUNTIF(AF6:AF20,"✓")+COUNTIF(AF6:AF20,"x"))/COUNTIF($B$6:$B$20,"?*"))</f>
        <v/>
      </c>
      <c r="AG21" s="31">
        <f>IF(OR(AG4="",COUNTIF($B$6:$B$20,"?*")=0),"",(COUNTIF(AG6:AG20,"✓")+COUNTIF(AG6:AG20,"x"))/COUNTIF($B$6:$B$20,"?*"))</f>
        <v/>
      </c>
      <c r="AJ21" s="32">
        <f>IFERROR(AVERAGE(AJ6:AJ20),"")</f>
        <v/>
      </c>
    </row>
  </sheetData>
  <conditionalFormatting sqref="C6:AG20">
    <cfRule type="expression" priority="1" dxfId="0">
      <formula>C$4=""</formula>
    </cfRule>
    <cfRule type="expression" priority="2" dxfId="1">
      <formula>OR(C6="✓",C6="x")</formula>
    </cfRule>
  </conditionalFormatting>
  <conditionalFormatting sqref="C4:AG5">
    <cfRule type="expression" priority="3" dxfId="1">
      <formula>C$4=TODAY()</formula>
    </cfRule>
  </conditionalFormatting>
  <conditionalFormatting sqref="C21:AG21">
    <cfRule type="colorScale" priority="4">
      <colorScale>
        <cfvo type="num" val="0"/>
        <cfvo type="num" val="1"/>
        <color rgb="00FFFFFF"/>
        <color rgb="0034D399"/>
      </colorScale>
    </cfRule>
  </conditionalFormatting>
  <conditionalFormatting sqref="AK6:AK20">
    <cfRule type="dataBar" priority="5">
      <dataBar>
        <cfvo type="num" val="0"/>
        <cfvo type="num" val="1"/>
        <color rgb="0034D399"/>
      </dataBar>
    </cfRule>
  </conditionalFormatting>
  <dataValidations count="1">
    <dataValidation sqref="C6:AG20" showDropDown="0" showInputMessage="0" showErrorMessage="0" allowBlank="1" error="Use ✓ or x to mark a habit as done." type="list">
      <formula1>"✓,x"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34D399"/>
    <outlinePr summaryBelow="1" summaryRight="1"/>
    <pageSetUpPr fitToPage="1"/>
  </sheetPr>
  <dimension ref="A1:AK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8" customWidth="1" min="34" max="34"/>
    <col width="8" customWidth="1" min="35" max="35"/>
    <col width="10" customWidth="1" min="36" max="36"/>
    <col width="10" customWidth="1" min="37" max="37"/>
  </cols>
  <sheetData>
    <row r="1" ht="30" customHeight="1">
      <c r="A1" s="1">
        <f>TEXT(DATE(Setup!$C$4,3,1),"mmmm yyyy")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20" customHeight="1">
      <c r="A2" s="3" t="inlineStr">
        <is>
          <t>Mark ✓ when done  ·  علّم ✓ عند الإنجاز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4">
      <c r="B4" s="21" t="inlineStr">
        <is>
          <t>Habit</t>
        </is>
      </c>
      <c r="C4" s="22">
        <f>IF(MONTH(DATE(Setup!$C$4,3,1))=3,DATE(Setup!$C$4,3,1),"")</f>
        <v/>
      </c>
      <c r="D4" s="22">
        <f>IF(MONTH(DATE(Setup!$C$4,3,2))=3,DATE(Setup!$C$4,3,2),"")</f>
        <v/>
      </c>
      <c r="E4" s="22">
        <f>IF(MONTH(DATE(Setup!$C$4,3,3))=3,DATE(Setup!$C$4,3,3),"")</f>
        <v/>
      </c>
      <c r="F4" s="22">
        <f>IF(MONTH(DATE(Setup!$C$4,3,4))=3,DATE(Setup!$C$4,3,4),"")</f>
        <v/>
      </c>
      <c r="G4" s="22">
        <f>IF(MONTH(DATE(Setup!$C$4,3,5))=3,DATE(Setup!$C$4,3,5),"")</f>
        <v/>
      </c>
      <c r="H4" s="22">
        <f>IF(MONTH(DATE(Setup!$C$4,3,6))=3,DATE(Setup!$C$4,3,6),"")</f>
        <v/>
      </c>
      <c r="I4" s="22">
        <f>IF(MONTH(DATE(Setup!$C$4,3,7))=3,DATE(Setup!$C$4,3,7),"")</f>
        <v/>
      </c>
      <c r="J4" s="22">
        <f>IF(MONTH(DATE(Setup!$C$4,3,8))=3,DATE(Setup!$C$4,3,8),"")</f>
        <v/>
      </c>
      <c r="K4" s="22">
        <f>IF(MONTH(DATE(Setup!$C$4,3,9))=3,DATE(Setup!$C$4,3,9),"")</f>
        <v/>
      </c>
      <c r="L4" s="22">
        <f>IF(MONTH(DATE(Setup!$C$4,3,10))=3,DATE(Setup!$C$4,3,10),"")</f>
        <v/>
      </c>
      <c r="M4" s="22">
        <f>IF(MONTH(DATE(Setup!$C$4,3,11))=3,DATE(Setup!$C$4,3,11),"")</f>
        <v/>
      </c>
      <c r="N4" s="22">
        <f>IF(MONTH(DATE(Setup!$C$4,3,12))=3,DATE(Setup!$C$4,3,12),"")</f>
        <v/>
      </c>
      <c r="O4" s="22">
        <f>IF(MONTH(DATE(Setup!$C$4,3,13))=3,DATE(Setup!$C$4,3,13),"")</f>
        <v/>
      </c>
      <c r="P4" s="22">
        <f>IF(MONTH(DATE(Setup!$C$4,3,14))=3,DATE(Setup!$C$4,3,14),"")</f>
        <v/>
      </c>
      <c r="Q4" s="22">
        <f>IF(MONTH(DATE(Setup!$C$4,3,15))=3,DATE(Setup!$C$4,3,15),"")</f>
        <v/>
      </c>
      <c r="R4" s="22">
        <f>IF(MONTH(DATE(Setup!$C$4,3,16))=3,DATE(Setup!$C$4,3,16),"")</f>
        <v/>
      </c>
      <c r="S4" s="22">
        <f>IF(MONTH(DATE(Setup!$C$4,3,17))=3,DATE(Setup!$C$4,3,17),"")</f>
        <v/>
      </c>
      <c r="T4" s="22">
        <f>IF(MONTH(DATE(Setup!$C$4,3,18))=3,DATE(Setup!$C$4,3,18),"")</f>
        <v/>
      </c>
      <c r="U4" s="22">
        <f>IF(MONTH(DATE(Setup!$C$4,3,19))=3,DATE(Setup!$C$4,3,19),"")</f>
        <v/>
      </c>
      <c r="V4" s="22">
        <f>IF(MONTH(DATE(Setup!$C$4,3,20))=3,DATE(Setup!$C$4,3,20),"")</f>
        <v/>
      </c>
      <c r="W4" s="22">
        <f>IF(MONTH(DATE(Setup!$C$4,3,21))=3,DATE(Setup!$C$4,3,21),"")</f>
        <v/>
      </c>
      <c r="X4" s="22">
        <f>IF(MONTH(DATE(Setup!$C$4,3,22))=3,DATE(Setup!$C$4,3,22),"")</f>
        <v/>
      </c>
      <c r="Y4" s="22">
        <f>IF(MONTH(DATE(Setup!$C$4,3,23))=3,DATE(Setup!$C$4,3,23),"")</f>
        <v/>
      </c>
      <c r="Z4" s="22">
        <f>IF(MONTH(DATE(Setup!$C$4,3,24))=3,DATE(Setup!$C$4,3,24),"")</f>
        <v/>
      </c>
      <c r="AA4" s="22">
        <f>IF(MONTH(DATE(Setup!$C$4,3,25))=3,DATE(Setup!$C$4,3,25),"")</f>
        <v/>
      </c>
      <c r="AB4" s="22">
        <f>IF(MONTH(DATE(Setup!$C$4,3,26))=3,DATE(Setup!$C$4,3,26),"")</f>
        <v/>
      </c>
      <c r="AC4" s="22">
        <f>IF(MONTH(DATE(Setup!$C$4,3,27))=3,DATE(Setup!$C$4,3,27),"")</f>
        <v/>
      </c>
      <c r="AD4" s="22">
        <f>IF(MONTH(DATE(Setup!$C$4,3,28))=3,DATE(Setup!$C$4,3,28),"")</f>
        <v/>
      </c>
      <c r="AE4" s="22">
        <f>IF(MONTH(DATE(Setup!$C$4,3,29))=3,DATE(Setup!$C$4,3,29),"")</f>
        <v/>
      </c>
      <c r="AF4" s="22">
        <f>IF(MONTH(DATE(Setup!$C$4,3,30))=3,DATE(Setup!$C$4,3,30),"")</f>
        <v/>
      </c>
      <c r="AG4" s="22">
        <f>IF(MONTH(DATE(Setup!$C$4,3,31))=3,DATE(Setup!$C$4,3,31),"")</f>
        <v/>
      </c>
      <c r="AH4" s="23" t="inlineStr">
        <is>
          <t>Done</t>
        </is>
      </c>
      <c r="AI4" s="23" t="inlineStr">
        <is>
          <t>Goal</t>
        </is>
      </c>
      <c r="AJ4" s="23" t="inlineStr">
        <is>
          <t>Rate</t>
        </is>
      </c>
      <c r="AK4" s="23" t="inlineStr">
        <is>
          <t>vs goal</t>
        </is>
      </c>
    </row>
    <row r="5">
      <c r="B5" s="24" t="n"/>
      <c r="C5" s="25">
        <f>IF(C4="","",MID("SMTWTFS",WEEKDAY(C4),1))</f>
        <v/>
      </c>
      <c r="D5" s="25">
        <f>IF(D4="","",MID("SMTWTFS",WEEKDAY(D4),1))</f>
        <v/>
      </c>
      <c r="E5" s="25">
        <f>IF(E4="","",MID("SMTWTFS",WEEKDAY(E4),1))</f>
        <v/>
      </c>
      <c r="F5" s="25">
        <f>IF(F4="","",MID("SMTWTFS",WEEKDAY(F4),1))</f>
        <v/>
      </c>
      <c r="G5" s="25">
        <f>IF(G4="","",MID("SMTWTFS",WEEKDAY(G4),1))</f>
        <v/>
      </c>
      <c r="H5" s="25">
        <f>IF(H4="","",MID("SMTWTFS",WEEKDAY(H4),1))</f>
        <v/>
      </c>
      <c r="I5" s="25">
        <f>IF(I4="","",MID("SMTWTFS",WEEKDAY(I4),1))</f>
        <v/>
      </c>
      <c r="J5" s="25">
        <f>IF(J4="","",MID("SMTWTFS",WEEKDAY(J4),1))</f>
        <v/>
      </c>
      <c r="K5" s="25">
        <f>IF(K4="","",MID("SMTWTFS",WEEKDAY(K4),1))</f>
        <v/>
      </c>
      <c r="L5" s="25">
        <f>IF(L4="","",MID("SMTWTFS",WEEKDAY(L4),1))</f>
        <v/>
      </c>
      <c r="M5" s="25">
        <f>IF(M4="","",MID("SMTWTFS",WEEKDAY(M4),1))</f>
        <v/>
      </c>
      <c r="N5" s="25">
        <f>IF(N4="","",MID("SMTWTFS",WEEKDAY(N4),1))</f>
        <v/>
      </c>
      <c r="O5" s="25">
        <f>IF(O4="","",MID("SMTWTFS",WEEKDAY(O4),1))</f>
        <v/>
      </c>
      <c r="P5" s="25">
        <f>IF(P4="","",MID("SMTWTFS",WEEKDAY(P4),1))</f>
        <v/>
      </c>
      <c r="Q5" s="25">
        <f>IF(Q4="","",MID("SMTWTFS",WEEKDAY(Q4),1))</f>
        <v/>
      </c>
      <c r="R5" s="25">
        <f>IF(R4="","",MID("SMTWTFS",WEEKDAY(R4),1))</f>
        <v/>
      </c>
      <c r="S5" s="25">
        <f>IF(S4="","",MID("SMTWTFS",WEEKDAY(S4),1))</f>
        <v/>
      </c>
      <c r="T5" s="25">
        <f>IF(T4="","",MID("SMTWTFS",WEEKDAY(T4),1))</f>
        <v/>
      </c>
      <c r="U5" s="25">
        <f>IF(U4="","",MID("SMTWTFS",WEEKDAY(U4),1))</f>
        <v/>
      </c>
      <c r="V5" s="25">
        <f>IF(V4="","",MID("SMTWTFS",WEEKDAY(V4),1))</f>
        <v/>
      </c>
      <c r="W5" s="25">
        <f>IF(W4="","",MID("SMTWTFS",WEEKDAY(W4),1))</f>
        <v/>
      </c>
      <c r="X5" s="25">
        <f>IF(X4="","",MID("SMTWTFS",WEEKDAY(X4),1))</f>
        <v/>
      </c>
      <c r="Y5" s="25">
        <f>IF(Y4="","",MID("SMTWTFS",WEEKDAY(Y4),1))</f>
        <v/>
      </c>
      <c r="Z5" s="25">
        <f>IF(Z4="","",MID("SMTWTFS",WEEKDAY(Z4),1))</f>
        <v/>
      </c>
      <c r="AA5" s="25">
        <f>IF(AA4="","",MID("SMTWTFS",WEEKDAY(AA4),1))</f>
        <v/>
      </c>
      <c r="AB5" s="25">
        <f>IF(AB4="","",MID("SMTWTFS",WEEKDAY(AB4),1))</f>
        <v/>
      </c>
      <c r="AC5" s="25">
        <f>IF(AC4="","",MID("SMTWTFS",WEEKDAY(AC4),1))</f>
        <v/>
      </c>
      <c r="AD5" s="25">
        <f>IF(AD4="","",MID("SMTWTFS",WEEKDAY(AD4),1))</f>
        <v/>
      </c>
      <c r="AE5" s="25">
        <f>IF(AE4="","",MID("SMTWTFS",WEEKDAY(AE4),1))</f>
        <v/>
      </c>
      <c r="AF5" s="25">
        <f>IF(AF4="","",MID("SMTWTFS",WEEKDAY(AF4),1))</f>
        <v/>
      </c>
      <c r="AG5" s="25">
        <f>IF(AG4="","",MID("SMTWTFS",WEEKDAY(AG4),1))</f>
        <v/>
      </c>
      <c r="AH5" s="26" t="n"/>
      <c r="AI5" s="26" t="n"/>
      <c r="AJ5" s="26" t="n"/>
      <c r="AK5" s="26" t="n"/>
    </row>
    <row r="6" ht="20" customHeight="1">
      <c r="B6" s="18">
        <f>IF(Setup!B7="","",Setup!B7)</f>
        <v/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8">
        <f>IF(B6="","",COUNTIF(C6:AG6,"✓")+COUNTIF(C6:AG6,"x"))</f>
        <v/>
      </c>
      <c r="AI6" s="28">
        <f>IF(OR(B6="",Setup!C7=""),"",MIN(Setup!C7,COUNT($C$4:$AG$4)))</f>
        <v/>
      </c>
      <c r="AJ6" s="29">
        <f>IF(B6="","",AH6/COUNT($C$4:$AG$4))</f>
        <v/>
      </c>
      <c r="AK6" s="29">
        <f>IF(OR(B6="",N(AI6)=0),"",MIN(1,AH6/AI6))</f>
        <v/>
      </c>
    </row>
    <row r="7" ht="20" customHeight="1">
      <c r="B7" s="18">
        <f>IF(Setup!B8="","",Setup!B8)</f>
        <v/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8">
        <f>IF(B7="","",COUNTIF(C7:AG7,"✓")+COUNTIF(C7:AG7,"x"))</f>
        <v/>
      </c>
      <c r="AI7" s="28">
        <f>IF(OR(B7="",Setup!C8=""),"",MIN(Setup!C8,COUNT($C$4:$AG$4)))</f>
        <v/>
      </c>
      <c r="AJ7" s="29">
        <f>IF(B7="","",AH7/COUNT($C$4:$AG$4))</f>
        <v/>
      </c>
      <c r="AK7" s="29">
        <f>IF(OR(B7="",N(AI7)=0),"",MIN(1,AH7/AI7))</f>
        <v/>
      </c>
    </row>
    <row r="8" ht="20" customHeight="1">
      <c r="B8" s="18">
        <f>IF(Setup!B9="","",Setup!B9)</f>
        <v/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8">
        <f>IF(B8="","",COUNTIF(C8:AG8,"✓")+COUNTIF(C8:AG8,"x"))</f>
        <v/>
      </c>
      <c r="AI8" s="28">
        <f>IF(OR(B8="",Setup!C9=""),"",MIN(Setup!C9,COUNT($C$4:$AG$4)))</f>
        <v/>
      </c>
      <c r="AJ8" s="29">
        <f>IF(B8="","",AH8/COUNT($C$4:$AG$4))</f>
        <v/>
      </c>
      <c r="AK8" s="29">
        <f>IF(OR(B8="",N(AI8)=0),"",MIN(1,AH8/AI8))</f>
        <v/>
      </c>
    </row>
    <row r="9" ht="20" customHeight="1">
      <c r="B9" s="18">
        <f>IF(Setup!B10="","",Setup!B10)</f>
        <v/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8">
        <f>IF(B9="","",COUNTIF(C9:AG9,"✓")+COUNTIF(C9:AG9,"x"))</f>
        <v/>
      </c>
      <c r="AI9" s="28">
        <f>IF(OR(B9="",Setup!C10=""),"",MIN(Setup!C10,COUNT($C$4:$AG$4)))</f>
        <v/>
      </c>
      <c r="AJ9" s="29">
        <f>IF(B9="","",AH9/COUNT($C$4:$AG$4))</f>
        <v/>
      </c>
      <c r="AK9" s="29">
        <f>IF(OR(B9="",N(AI9)=0),"",MIN(1,AH9/AI9))</f>
        <v/>
      </c>
    </row>
    <row r="10" ht="20" customHeight="1">
      <c r="B10" s="18">
        <f>IF(Setup!B11="","",Setup!B11)</f>
        <v/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8">
        <f>IF(B10="","",COUNTIF(C10:AG10,"✓")+COUNTIF(C10:AG10,"x"))</f>
        <v/>
      </c>
      <c r="AI10" s="28">
        <f>IF(OR(B10="",Setup!C11=""),"",MIN(Setup!C11,COUNT($C$4:$AG$4)))</f>
        <v/>
      </c>
      <c r="AJ10" s="29">
        <f>IF(B10="","",AH10/COUNT($C$4:$AG$4))</f>
        <v/>
      </c>
      <c r="AK10" s="29">
        <f>IF(OR(B10="",N(AI10)=0),"",MIN(1,AH10/AI10))</f>
        <v/>
      </c>
    </row>
    <row r="11" ht="20" customHeight="1">
      <c r="B11" s="18">
        <f>IF(Setup!B12="","",Setup!B12)</f>
        <v/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8">
        <f>IF(B11="","",COUNTIF(C11:AG11,"✓")+COUNTIF(C11:AG11,"x"))</f>
        <v/>
      </c>
      <c r="AI11" s="28">
        <f>IF(OR(B11="",Setup!C12=""),"",MIN(Setup!C12,COUNT($C$4:$AG$4)))</f>
        <v/>
      </c>
      <c r="AJ11" s="29">
        <f>IF(B11="","",AH11/COUNT($C$4:$AG$4))</f>
        <v/>
      </c>
      <c r="AK11" s="29">
        <f>IF(OR(B11="",N(AI11)=0),"",MIN(1,AH11/AI11))</f>
        <v/>
      </c>
    </row>
    <row r="12" ht="20" customHeight="1">
      <c r="B12" s="18">
        <f>IF(Setup!B13="","",Setup!B13)</f>
        <v/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8">
        <f>IF(B12="","",COUNTIF(C12:AG12,"✓")+COUNTIF(C12:AG12,"x"))</f>
        <v/>
      </c>
      <c r="AI12" s="28">
        <f>IF(OR(B12="",Setup!C13=""),"",MIN(Setup!C13,COUNT($C$4:$AG$4)))</f>
        <v/>
      </c>
      <c r="AJ12" s="29">
        <f>IF(B12="","",AH12/COUNT($C$4:$AG$4))</f>
        <v/>
      </c>
      <c r="AK12" s="29">
        <f>IF(OR(B12="",N(AI12)=0),"",MIN(1,AH12/AI12))</f>
        <v/>
      </c>
    </row>
    <row r="13" ht="20" customHeight="1">
      <c r="B13" s="18">
        <f>IF(Setup!B14="","",Setup!B14)</f>
        <v/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8">
        <f>IF(B13="","",COUNTIF(C13:AG13,"✓")+COUNTIF(C13:AG13,"x"))</f>
        <v/>
      </c>
      <c r="AI13" s="28">
        <f>IF(OR(B13="",Setup!C14=""),"",MIN(Setup!C14,COUNT($C$4:$AG$4)))</f>
        <v/>
      </c>
      <c r="AJ13" s="29">
        <f>IF(B13="","",AH13/COUNT($C$4:$AG$4))</f>
        <v/>
      </c>
      <c r="AK13" s="29">
        <f>IF(OR(B13="",N(AI13)=0),"",MIN(1,AH13/AI13))</f>
        <v/>
      </c>
    </row>
    <row r="14" ht="20" customHeight="1">
      <c r="B14" s="18">
        <f>IF(Setup!B15="","",Setup!B15)</f>
        <v/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8">
        <f>IF(B14="","",COUNTIF(C14:AG14,"✓")+COUNTIF(C14:AG14,"x"))</f>
        <v/>
      </c>
      <c r="AI14" s="28">
        <f>IF(OR(B14="",Setup!C15=""),"",MIN(Setup!C15,COUNT($C$4:$AG$4)))</f>
        <v/>
      </c>
      <c r="AJ14" s="29">
        <f>IF(B14="","",AH14/COUNT($C$4:$AG$4))</f>
        <v/>
      </c>
      <c r="AK14" s="29">
        <f>IF(OR(B14="",N(AI14)=0),"",MIN(1,AH14/AI14))</f>
        <v/>
      </c>
    </row>
    <row r="15" ht="20" customHeight="1">
      <c r="B15" s="18">
        <f>IF(Setup!B16="","",Setup!B16)</f>
        <v/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8">
        <f>IF(B15="","",COUNTIF(C15:AG15,"✓")+COUNTIF(C15:AG15,"x"))</f>
        <v/>
      </c>
      <c r="AI15" s="28">
        <f>IF(OR(B15="",Setup!C16=""),"",MIN(Setup!C16,COUNT($C$4:$AG$4)))</f>
        <v/>
      </c>
      <c r="AJ15" s="29">
        <f>IF(B15="","",AH15/COUNT($C$4:$AG$4))</f>
        <v/>
      </c>
      <c r="AK15" s="29">
        <f>IF(OR(B15="",N(AI15)=0),"",MIN(1,AH15/AI15))</f>
        <v/>
      </c>
    </row>
    <row r="16" ht="20" customHeight="1">
      <c r="B16" s="18">
        <f>IF(Setup!B17="","",Setup!B17)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8">
        <f>IF(B16="","",COUNTIF(C16:AG16,"✓")+COUNTIF(C16:AG16,"x"))</f>
        <v/>
      </c>
      <c r="AI16" s="28">
        <f>IF(OR(B16="",Setup!C17=""),"",MIN(Setup!C17,COUNT($C$4:$AG$4)))</f>
        <v/>
      </c>
      <c r="AJ16" s="29">
        <f>IF(B16="","",AH16/COUNT($C$4:$AG$4))</f>
        <v/>
      </c>
      <c r="AK16" s="29">
        <f>IF(OR(B16="",N(AI16)=0),"",MIN(1,AH16/AI16))</f>
        <v/>
      </c>
    </row>
    <row r="17" ht="20" customHeight="1">
      <c r="B17" s="18">
        <f>IF(Setup!B18="","",Setup!B18)</f>
        <v/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8">
        <f>IF(B17="","",COUNTIF(C17:AG17,"✓")+COUNTIF(C17:AG17,"x"))</f>
        <v/>
      </c>
      <c r="AI17" s="28">
        <f>IF(OR(B17="",Setup!C18=""),"",MIN(Setup!C18,COUNT($C$4:$AG$4)))</f>
        <v/>
      </c>
      <c r="AJ17" s="29">
        <f>IF(B17="","",AH17/COUNT($C$4:$AG$4))</f>
        <v/>
      </c>
      <c r="AK17" s="29">
        <f>IF(OR(B17="",N(AI17)=0),"",MIN(1,AH17/AI17))</f>
        <v/>
      </c>
    </row>
    <row r="18" ht="20" customHeight="1">
      <c r="B18" s="18">
        <f>IF(Setup!B19="","",Setup!B19)</f>
        <v/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8">
        <f>IF(B18="","",COUNTIF(C18:AG18,"✓")+COUNTIF(C18:AG18,"x"))</f>
        <v/>
      </c>
      <c r="AI18" s="28">
        <f>IF(OR(B18="",Setup!C19=""),"",MIN(Setup!C19,COUNT($C$4:$AG$4)))</f>
        <v/>
      </c>
      <c r="AJ18" s="29">
        <f>IF(B18="","",AH18/COUNT($C$4:$AG$4))</f>
        <v/>
      </c>
      <c r="AK18" s="29">
        <f>IF(OR(B18="",N(AI18)=0),"",MIN(1,AH18/AI18))</f>
        <v/>
      </c>
    </row>
    <row r="19" ht="20" customHeight="1">
      <c r="B19" s="18">
        <f>IF(Setup!B20="","",Setup!B20)</f>
        <v/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8">
        <f>IF(B19="","",COUNTIF(C19:AG19,"✓")+COUNTIF(C19:AG19,"x"))</f>
        <v/>
      </c>
      <c r="AI19" s="28">
        <f>IF(OR(B19="",Setup!C20=""),"",MIN(Setup!C20,COUNT($C$4:$AG$4)))</f>
        <v/>
      </c>
      <c r="AJ19" s="29">
        <f>IF(B19="","",AH19/COUNT($C$4:$AG$4))</f>
        <v/>
      </c>
      <c r="AK19" s="29">
        <f>IF(OR(B19="",N(AI19)=0),"",MIN(1,AH19/AI19))</f>
        <v/>
      </c>
    </row>
    <row r="20" ht="20" customHeight="1">
      <c r="B20" s="18">
        <f>IF(Setup!B21="","",Setup!B21)</f>
        <v/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8">
        <f>IF(B20="","",COUNTIF(C20:AG20,"✓")+COUNTIF(C20:AG20,"x"))</f>
        <v/>
      </c>
      <c r="AI20" s="28">
        <f>IF(OR(B20="",Setup!C21=""),"",MIN(Setup!C21,COUNT($C$4:$AG$4)))</f>
        <v/>
      </c>
      <c r="AJ20" s="29">
        <f>IF(B20="","",AH20/COUNT($C$4:$AG$4))</f>
        <v/>
      </c>
      <c r="AK20" s="29">
        <f>IF(OR(B20="",N(AI20)=0),"",MIN(1,AH20/AI20))</f>
        <v/>
      </c>
    </row>
    <row r="21">
      <c r="B21" s="30" t="inlineStr">
        <is>
          <t>Day complete</t>
        </is>
      </c>
      <c r="C21" s="31">
        <f>IF(OR(C4="",COUNTIF($B$6:$B$20,"?*")=0),"",(COUNTIF(C6:C20,"✓")+COUNTIF(C6:C20,"x"))/COUNTIF($B$6:$B$20,"?*"))</f>
        <v/>
      </c>
      <c r="D21" s="31">
        <f>IF(OR(D4="",COUNTIF($B$6:$B$20,"?*")=0),"",(COUNTIF(D6:D20,"✓")+COUNTIF(D6:D20,"x"))/COUNTIF($B$6:$B$20,"?*"))</f>
        <v/>
      </c>
      <c r="E21" s="31">
        <f>IF(OR(E4="",COUNTIF($B$6:$B$20,"?*")=0),"",(COUNTIF(E6:E20,"✓")+COUNTIF(E6:E20,"x"))/COUNTIF($B$6:$B$20,"?*"))</f>
        <v/>
      </c>
      <c r="F21" s="31">
        <f>IF(OR(F4="",COUNTIF($B$6:$B$20,"?*")=0),"",(COUNTIF(F6:F20,"✓")+COUNTIF(F6:F20,"x"))/COUNTIF($B$6:$B$20,"?*"))</f>
        <v/>
      </c>
      <c r="G21" s="31">
        <f>IF(OR(G4="",COUNTIF($B$6:$B$20,"?*")=0),"",(COUNTIF(G6:G20,"✓")+COUNTIF(G6:G20,"x"))/COUNTIF($B$6:$B$20,"?*"))</f>
        <v/>
      </c>
      <c r="H21" s="31">
        <f>IF(OR(H4="",COUNTIF($B$6:$B$20,"?*")=0),"",(COUNTIF(H6:H20,"✓")+COUNTIF(H6:H20,"x"))/COUNTIF($B$6:$B$20,"?*"))</f>
        <v/>
      </c>
      <c r="I21" s="31">
        <f>IF(OR(I4="",COUNTIF($B$6:$B$20,"?*")=0),"",(COUNTIF(I6:I20,"✓")+COUNTIF(I6:I20,"x"))/COUNTIF($B$6:$B$20,"?*"))</f>
        <v/>
      </c>
      <c r="J21" s="31">
        <f>IF(OR(J4="",COUNTIF($B$6:$B$20,"?*")=0),"",(COUNTIF(J6:J20,"✓")+COUNTIF(J6:J20,"x"))/COUNTIF($B$6:$B$20,"?*"))</f>
        <v/>
      </c>
      <c r="K21" s="31">
        <f>IF(OR(K4="",COUNTIF($B$6:$B$20,"?*")=0),"",(COUNTIF(K6:K20,"✓")+COUNTIF(K6:K20,"x"))/COUNTIF($B$6:$B$20,"?*"))</f>
        <v/>
      </c>
      <c r="L21" s="31">
        <f>IF(OR(L4="",COUNTIF($B$6:$B$20,"?*")=0),"",(COUNTIF(L6:L20,"✓")+COUNTIF(L6:L20,"x"))/COUNTIF($B$6:$B$20,"?*"))</f>
        <v/>
      </c>
      <c r="M21" s="31">
        <f>IF(OR(M4="",COUNTIF($B$6:$B$20,"?*")=0),"",(COUNTIF(M6:M20,"✓")+COUNTIF(M6:M20,"x"))/COUNTIF($B$6:$B$20,"?*"))</f>
        <v/>
      </c>
      <c r="N21" s="31">
        <f>IF(OR(N4="",COUNTIF($B$6:$B$20,"?*")=0),"",(COUNTIF(N6:N20,"✓")+COUNTIF(N6:N20,"x"))/COUNTIF($B$6:$B$20,"?*"))</f>
        <v/>
      </c>
      <c r="O21" s="31">
        <f>IF(OR(O4="",COUNTIF($B$6:$B$20,"?*")=0),"",(COUNTIF(O6:O20,"✓")+COUNTIF(O6:O20,"x"))/COUNTIF($B$6:$B$20,"?*"))</f>
        <v/>
      </c>
      <c r="P21" s="31">
        <f>IF(OR(P4="",COUNTIF($B$6:$B$20,"?*")=0),"",(COUNTIF(P6:P20,"✓")+COUNTIF(P6:P20,"x"))/COUNTIF($B$6:$B$20,"?*"))</f>
        <v/>
      </c>
      <c r="Q21" s="31">
        <f>IF(OR(Q4="",COUNTIF($B$6:$B$20,"?*")=0),"",(COUNTIF(Q6:Q20,"✓")+COUNTIF(Q6:Q20,"x"))/COUNTIF($B$6:$B$20,"?*"))</f>
        <v/>
      </c>
      <c r="R21" s="31">
        <f>IF(OR(R4="",COUNTIF($B$6:$B$20,"?*")=0),"",(COUNTIF(R6:R20,"✓")+COUNTIF(R6:R20,"x"))/COUNTIF($B$6:$B$20,"?*"))</f>
        <v/>
      </c>
      <c r="S21" s="31">
        <f>IF(OR(S4="",COUNTIF($B$6:$B$20,"?*")=0),"",(COUNTIF(S6:S20,"✓")+COUNTIF(S6:S20,"x"))/COUNTIF($B$6:$B$20,"?*"))</f>
        <v/>
      </c>
      <c r="T21" s="31">
        <f>IF(OR(T4="",COUNTIF($B$6:$B$20,"?*")=0),"",(COUNTIF(T6:T20,"✓")+COUNTIF(T6:T20,"x"))/COUNTIF($B$6:$B$20,"?*"))</f>
        <v/>
      </c>
      <c r="U21" s="31">
        <f>IF(OR(U4="",COUNTIF($B$6:$B$20,"?*")=0),"",(COUNTIF(U6:U20,"✓")+COUNTIF(U6:U20,"x"))/COUNTIF($B$6:$B$20,"?*"))</f>
        <v/>
      </c>
      <c r="V21" s="31">
        <f>IF(OR(V4="",COUNTIF($B$6:$B$20,"?*")=0),"",(COUNTIF(V6:V20,"✓")+COUNTIF(V6:V20,"x"))/COUNTIF($B$6:$B$20,"?*"))</f>
        <v/>
      </c>
      <c r="W21" s="31">
        <f>IF(OR(W4="",COUNTIF($B$6:$B$20,"?*")=0),"",(COUNTIF(W6:W20,"✓")+COUNTIF(W6:W20,"x"))/COUNTIF($B$6:$B$20,"?*"))</f>
        <v/>
      </c>
      <c r="X21" s="31">
        <f>IF(OR(X4="",COUNTIF($B$6:$B$20,"?*")=0),"",(COUNTIF(X6:X20,"✓")+COUNTIF(X6:X20,"x"))/COUNTIF($B$6:$B$20,"?*"))</f>
        <v/>
      </c>
      <c r="Y21" s="31">
        <f>IF(OR(Y4="",COUNTIF($B$6:$B$20,"?*")=0),"",(COUNTIF(Y6:Y20,"✓")+COUNTIF(Y6:Y20,"x"))/COUNTIF($B$6:$B$20,"?*"))</f>
        <v/>
      </c>
      <c r="Z21" s="31">
        <f>IF(OR(Z4="",COUNTIF($B$6:$B$20,"?*")=0),"",(COUNTIF(Z6:Z20,"✓")+COUNTIF(Z6:Z20,"x"))/COUNTIF($B$6:$B$20,"?*"))</f>
        <v/>
      </c>
      <c r="AA21" s="31">
        <f>IF(OR(AA4="",COUNTIF($B$6:$B$20,"?*")=0),"",(COUNTIF(AA6:AA20,"✓")+COUNTIF(AA6:AA20,"x"))/COUNTIF($B$6:$B$20,"?*"))</f>
        <v/>
      </c>
      <c r="AB21" s="31">
        <f>IF(OR(AB4="",COUNTIF($B$6:$B$20,"?*")=0),"",(COUNTIF(AB6:AB20,"✓")+COUNTIF(AB6:AB20,"x"))/COUNTIF($B$6:$B$20,"?*"))</f>
        <v/>
      </c>
      <c r="AC21" s="31">
        <f>IF(OR(AC4="",COUNTIF($B$6:$B$20,"?*")=0),"",(COUNTIF(AC6:AC20,"✓")+COUNTIF(AC6:AC20,"x"))/COUNTIF($B$6:$B$20,"?*"))</f>
        <v/>
      </c>
      <c r="AD21" s="31">
        <f>IF(OR(AD4="",COUNTIF($B$6:$B$20,"?*")=0),"",(COUNTIF(AD6:AD20,"✓")+COUNTIF(AD6:AD20,"x"))/COUNTIF($B$6:$B$20,"?*"))</f>
        <v/>
      </c>
      <c r="AE21" s="31">
        <f>IF(OR(AE4="",COUNTIF($B$6:$B$20,"?*")=0),"",(COUNTIF(AE6:AE20,"✓")+COUNTIF(AE6:AE20,"x"))/COUNTIF($B$6:$B$20,"?*"))</f>
        <v/>
      </c>
      <c r="AF21" s="31">
        <f>IF(OR(AF4="",COUNTIF($B$6:$B$20,"?*")=0),"",(COUNTIF(AF6:AF20,"✓")+COUNTIF(AF6:AF20,"x"))/COUNTIF($B$6:$B$20,"?*"))</f>
        <v/>
      </c>
      <c r="AG21" s="31">
        <f>IF(OR(AG4="",COUNTIF($B$6:$B$20,"?*")=0),"",(COUNTIF(AG6:AG20,"✓")+COUNTIF(AG6:AG20,"x"))/COUNTIF($B$6:$B$20,"?*"))</f>
        <v/>
      </c>
      <c r="AJ21" s="32">
        <f>IFERROR(AVERAGE(AJ6:AJ20),"")</f>
        <v/>
      </c>
    </row>
  </sheetData>
  <conditionalFormatting sqref="C6:AG20">
    <cfRule type="expression" priority="1" dxfId="0">
      <formula>C$4=""</formula>
    </cfRule>
    <cfRule type="expression" priority="2" dxfId="1">
      <formula>OR(C6="✓",C6="x")</formula>
    </cfRule>
  </conditionalFormatting>
  <conditionalFormatting sqref="C4:AG5">
    <cfRule type="expression" priority="3" dxfId="1">
      <formula>C$4=TODAY()</formula>
    </cfRule>
  </conditionalFormatting>
  <conditionalFormatting sqref="C21:AG21">
    <cfRule type="colorScale" priority="4">
      <colorScale>
        <cfvo type="num" val="0"/>
        <cfvo type="num" val="1"/>
        <color rgb="00FFFFFF"/>
        <color rgb="0034D399"/>
      </colorScale>
    </cfRule>
  </conditionalFormatting>
  <conditionalFormatting sqref="AK6:AK20">
    <cfRule type="dataBar" priority="5">
      <dataBar>
        <cfvo type="num" val="0"/>
        <cfvo type="num" val="1"/>
        <color rgb="0034D399"/>
      </dataBar>
    </cfRule>
  </conditionalFormatting>
  <dataValidations count="1">
    <dataValidation sqref="C6:AG20" showDropDown="0" showInputMessage="0" showErrorMessage="0" allowBlank="1" error="Use ✓ or x to mark a habit as done." type="list">
      <formula1>"✓,x"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34D399"/>
    <outlinePr summaryBelow="1" summaryRight="1"/>
    <pageSetUpPr fitToPage="1"/>
  </sheetPr>
  <dimension ref="A1:AK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8" customWidth="1" min="34" max="34"/>
    <col width="8" customWidth="1" min="35" max="35"/>
    <col width="10" customWidth="1" min="36" max="36"/>
    <col width="10" customWidth="1" min="37" max="37"/>
  </cols>
  <sheetData>
    <row r="1" ht="30" customHeight="1">
      <c r="A1" s="1">
        <f>TEXT(DATE(Setup!$C$4,4,1),"mmmm yyyy")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20" customHeight="1">
      <c r="A2" s="3" t="inlineStr">
        <is>
          <t>Mark ✓ when done  ·  علّم ✓ عند الإنجاز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4">
      <c r="B4" s="21" t="inlineStr">
        <is>
          <t>Habit</t>
        </is>
      </c>
      <c r="C4" s="22">
        <f>IF(MONTH(DATE(Setup!$C$4,4,1))=4,DATE(Setup!$C$4,4,1),"")</f>
        <v/>
      </c>
      <c r="D4" s="22">
        <f>IF(MONTH(DATE(Setup!$C$4,4,2))=4,DATE(Setup!$C$4,4,2),"")</f>
        <v/>
      </c>
      <c r="E4" s="22">
        <f>IF(MONTH(DATE(Setup!$C$4,4,3))=4,DATE(Setup!$C$4,4,3),"")</f>
        <v/>
      </c>
      <c r="F4" s="22">
        <f>IF(MONTH(DATE(Setup!$C$4,4,4))=4,DATE(Setup!$C$4,4,4),"")</f>
        <v/>
      </c>
      <c r="G4" s="22">
        <f>IF(MONTH(DATE(Setup!$C$4,4,5))=4,DATE(Setup!$C$4,4,5),"")</f>
        <v/>
      </c>
      <c r="H4" s="22">
        <f>IF(MONTH(DATE(Setup!$C$4,4,6))=4,DATE(Setup!$C$4,4,6),"")</f>
        <v/>
      </c>
      <c r="I4" s="22">
        <f>IF(MONTH(DATE(Setup!$C$4,4,7))=4,DATE(Setup!$C$4,4,7),"")</f>
        <v/>
      </c>
      <c r="J4" s="22">
        <f>IF(MONTH(DATE(Setup!$C$4,4,8))=4,DATE(Setup!$C$4,4,8),"")</f>
        <v/>
      </c>
      <c r="K4" s="22">
        <f>IF(MONTH(DATE(Setup!$C$4,4,9))=4,DATE(Setup!$C$4,4,9),"")</f>
        <v/>
      </c>
      <c r="L4" s="22">
        <f>IF(MONTH(DATE(Setup!$C$4,4,10))=4,DATE(Setup!$C$4,4,10),"")</f>
        <v/>
      </c>
      <c r="M4" s="22">
        <f>IF(MONTH(DATE(Setup!$C$4,4,11))=4,DATE(Setup!$C$4,4,11),"")</f>
        <v/>
      </c>
      <c r="N4" s="22">
        <f>IF(MONTH(DATE(Setup!$C$4,4,12))=4,DATE(Setup!$C$4,4,12),"")</f>
        <v/>
      </c>
      <c r="O4" s="22">
        <f>IF(MONTH(DATE(Setup!$C$4,4,13))=4,DATE(Setup!$C$4,4,13),"")</f>
        <v/>
      </c>
      <c r="P4" s="22">
        <f>IF(MONTH(DATE(Setup!$C$4,4,14))=4,DATE(Setup!$C$4,4,14),"")</f>
        <v/>
      </c>
      <c r="Q4" s="22">
        <f>IF(MONTH(DATE(Setup!$C$4,4,15))=4,DATE(Setup!$C$4,4,15),"")</f>
        <v/>
      </c>
      <c r="R4" s="22">
        <f>IF(MONTH(DATE(Setup!$C$4,4,16))=4,DATE(Setup!$C$4,4,16),"")</f>
        <v/>
      </c>
      <c r="S4" s="22">
        <f>IF(MONTH(DATE(Setup!$C$4,4,17))=4,DATE(Setup!$C$4,4,17),"")</f>
        <v/>
      </c>
      <c r="T4" s="22">
        <f>IF(MONTH(DATE(Setup!$C$4,4,18))=4,DATE(Setup!$C$4,4,18),"")</f>
        <v/>
      </c>
      <c r="U4" s="22">
        <f>IF(MONTH(DATE(Setup!$C$4,4,19))=4,DATE(Setup!$C$4,4,19),"")</f>
        <v/>
      </c>
      <c r="V4" s="22">
        <f>IF(MONTH(DATE(Setup!$C$4,4,20))=4,DATE(Setup!$C$4,4,20),"")</f>
        <v/>
      </c>
      <c r="W4" s="22">
        <f>IF(MONTH(DATE(Setup!$C$4,4,21))=4,DATE(Setup!$C$4,4,21),"")</f>
        <v/>
      </c>
      <c r="X4" s="22">
        <f>IF(MONTH(DATE(Setup!$C$4,4,22))=4,DATE(Setup!$C$4,4,22),"")</f>
        <v/>
      </c>
      <c r="Y4" s="22">
        <f>IF(MONTH(DATE(Setup!$C$4,4,23))=4,DATE(Setup!$C$4,4,23),"")</f>
        <v/>
      </c>
      <c r="Z4" s="22">
        <f>IF(MONTH(DATE(Setup!$C$4,4,24))=4,DATE(Setup!$C$4,4,24),"")</f>
        <v/>
      </c>
      <c r="AA4" s="22">
        <f>IF(MONTH(DATE(Setup!$C$4,4,25))=4,DATE(Setup!$C$4,4,25),"")</f>
        <v/>
      </c>
      <c r="AB4" s="22">
        <f>IF(MONTH(DATE(Setup!$C$4,4,26))=4,DATE(Setup!$C$4,4,26),"")</f>
        <v/>
      </c>
      <c r="AC4" s="22">
        <f>IF(MONTH(DATE(Setup!$C$4,4,27))=4,DATE(Setup!$C$4,4,27),"")</f>
        <v/>
      </c>
      <c r="AD4" s="22">
        <f>IF(MONTH(DATE(Setup!$C$4,4,28))=4,DATE(Setup!$C$4,4,28),"")</f>
        <v/>
      </c>
      <c r="AE4" s="22">
        <f>IF(MONTH(DATE(Setup!$C$4,4,29))=4,DATE(Setup!$C$4,4,29),"")</f>
        <v/>
      </c>
      <c r="AF4" s="22">
        <f>IF(MONTH(DATE(Setup!$C$4,4,30))=4,DATE(Setup!$C$4,4,30),"")</f>
        <v/>
      </c>
      <c r="AG4" s="22">
        <f>IF(MONTH(DATE(Setup!$C$4,4,31))=4,DATE(Setup!$C$4,4,31),"")</f>
        <v/>
      </c>
      <c r="AH4" s="23" t="inlineStr">
        <is>
          <t>Done</t>
        </is>
      </c>
      <c r="AI4" s="23" t="inlineStr">
        <is>
          <t>Goal</t>
        </is>
      </c>
      <c r="AJ4" s="23" t="inlineStr">
        <is>
          <t>Rate</t>
        </is>
      </c>
      <c r="AK4" s="23" t="inlineStr">
        <is>
          <t>vs goal</t>
        </is>
      </c>
    </row>
    <row r="5">
      <c r="B5" s="24" t="n"/>
      <c r="C5" s="25">
        <f>IF(C4="","",MID("SMTWTFS",WEEKDAY(C4),1))</f>
        <v/>
      </c>
      <c r="D5" s="25">
        <f>IF(D4="","",MID("SMTWTFS",WEEKDAY(D4),1))</f>
        <v/>
      </c>
      <c r="E5" s="25">
        <f>IF(E4="","",MID("SMTWTFS",WEEKDAY(E4),1))</f>
        <v/>
      </c>
      <c r="F5" s="25">
        <f>IF(F4="","",MID("SMTWTFS",WEEKDAY(F4),1))</f>
        <v/>
      </c>
      <c r="G5" s="25">
        <f>IF(G4="","",MID("SMTWTFS",WEEKDAY(G4),1))</f>
        <v/>
      </c>
      <c r="H5" s="25">
        <f>IF(H4="","",MID("SMTWTFS",WEEKDAY(H4),1))</f>
        <v/>
      </c>
      <c r="I5" s="25">
        <f>IF(I4="","",MID("SMTWTFS",WEEKDAY(I4),1))</f>
        <v/>
      </c>
      <c r="J5" s="25">
        <f>IF(J4="","",MID("SMTWTFS",WEEKDAY(J4),1))</f>
        <v/>
      </c>
      <c r="K5" s="25">
        <f>IF(K4="","",MID("SMTWTFS",WEEKDAY(K4),1))</f>
        <v/>
      </c>
      <c r="L5" s="25">
        <f>IF(L4="","",MID("SMTWTFS",WEEKDAY(L4),1))</f>
        <v/>
      </c>
      <c r="M5" s="25">
        <f>IF(M4="","",MID("SMTWTFS",WEEKDAY(M4),1))</f>
        <v/>
      </c>
      <c r="N5" s="25">
        <f>IF(N4="","",MID("SMTWTFS",WEEKDAY(N4),1))</f>
        <v/>
      </c>
      <c r="O5" s="25">
        <f>IF(O4="","",MID("SMTWTFS",WEEKDAY(O4),1))</f>
        <v/>
      </c>
      <c r="P5" s="25">
        <f>IF(P4="","",MID("SMTWTFS",WEEKDAY(P4),1))</f>
        <v/>
      </c>
      <c r="Q5" s="25">
        <f>IF(Q4="","",MID("SMTWTFS",WEEKDAY(Q4),1))</f>
        <v/>
      </c>
      <c r="R5" s="25">
        <f>IF(R4="","",MID("SMTWTFS",WEEKDAY(R4),1))</f>
        <v/>
      </c>
      <c r="S5" s="25">
        <f>IF(S4="","",MID("SMTWTFS",WEEKDAY(S4),1))</f>
        <v/>
      </c>
      <c r="T5" s="25">
        <f>IF(T4="","",MID("SMTWTFS",WEEKDAY(T4),1))</f>
        <v/>
      </c>
      <c r="U5" s="25">
        <f>IF(U4="","",MID("SMTWTFS",WEEKDAY(U4),1))</f>
        <v/>
      </c>
      <c r="V5" s="25">
        <f>IF(V4="","",MID("SMTWTFS",WEEKDAY(V4),1))</f>
        <v/>
      </c>
      <c r="W5" s="25">
        <f>IF(W4="","",MID("SMTWTFS",WEEKDAY(W4),1))</f>
        <v/>
      </c>
      <c r="X5" s="25">
        <f>IF(X4="","",MID("SMTWTFS",WEEKDAY(X4),1))</f>
        <v/>
      </c>
      <c r="Y5" s="25">
        <f>IF(Y4="","",MID("SMTWTFS",WEEKDAY(Y4),1))</f>
        <v/>
      </c>
      <c r="Z5" s="25">
        <f>IF(Z4="","",MID("SMTWTFS",WEEKDAY(Z4),1))</f>
        <v/>
      </c>
      <c r="AA5" s="25">
        <f>IF(AA4="","",MID("SMTWTFS",WEEKDAY(AA4),1))</f>
        <v/>
      </c>
      <c r="AB5" s="25">
        <f>IF(AB4="","",MID("SMTWTFS",WEEKDAY(AB4),1))</f>
        <v/>
      </c>
      <c r="AC5" s="25">
        <f>IF(AC4="","",MID("SMTWTFS",WEEKDAY(AC4),1))</f>
        <v/>
      </c>
      <c r="AD5" s="25">
        <f>IF(AD4="","",MID("SMTWTFS",WEEKDAY(AD4),1))</f>
        <v/>
      </c>
      <c r="AE5" s="25">
        <f>IF(AE4="","",MID("SMTWTFS",WEEKDAY(AE4),1))</f>
        <v/>
      </c>
      <c r="AF5" s="25">
        <f>IF(AF4="","",MID("SMTWTFS",WEEKDAY(AF4),1))</f>
        <v/>
      </c>
      <c r="AG5" s="25">
        <f>IF(AG4="","",MID("SMTWTFS",WEEKDAY(AG4),1))</f>
        <v/>
      </c>
      <c r="AH5" s="26" t="n"/>
      <c r="AI5" s="26" t="n"/>
      <c r="AJ5" s="26" t="n"/>
      <c r="AK5" s="26" t="n"/>
    </row>
    <row r="6" ht="20" customHeight="1">
      <c r="B6" s="18">
        <f>IF(Setup!B7="","",Setup!B7)</f>
        <v/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8">
        <f>IF(B6="","",COUNTIF(C6:AG6,"✓")+COUNTIF(C6:AG6,"x"))</f>
        <v/>
      </c>
      <c r="AI6" s="28">
        <f>IF(OR(B6="",Setup!C7=""),"",MIN(Setup!C7,COUNT($C$4:$AG$4)))</f>
        <v/>
      </c>
      <c r="AJ6" s="29">
        <f>IF(B6="","",AH6/COUNT($C$4:$AG$4))</f>
        <v/>
      </c>
      <c r="AK6" s="29">
        <f>IF(OR(B6="",N(AI6)=0),"",MIN(1,AH6/AI6))</f>
        <v/>
      </c>
    </row>
    <row r="7" ht="20" customHeight="1">
      <c r="B7" s="18">
        <f>IF(Setup!B8="","",Setup!B8)</f>
        <v/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8">
        <f>IF(B7="","",COUNTIF(C7:AG7,"✓")+COUNTIF(C7:AG7,"x"))</f>
        <v/>
      </c>
      <c r="AI7" s="28">
        <f>IF(OR(B7="",Setup!C8=""),"",MIN(Setup!C8,COUNT($C$4:$AG$4)))</f>
        <v/>
      </c>
      <c r="AJ7" s="29">
        <f>IF(B7="","",AH7/COUNT($C$4:$AG$4))</f>
        <v/>
      </c>
      <c r="AK7" s="29">
        <f>IF(OR(B7="",N(AI7)=0),"",MIN(1,AH7/AI7))</f>
        <v/>
      </c>
    </row>
    <row r="8" ht="20" customHeight="1">
      <c r="B8" s="18">
        <f>IF(Setup!B9="","",Setup!B9)</f>
        <v/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8">
        <f>IF(B8="","",COUNTIF(C8:AG8,"✓")+COUNTIF(C8:AG8,"x"))</f>
        <v/>
      </c>
      <c r="AI8" s="28">
        <f>IF(OR(B8="",Setup!C9=""),"",MIN(Setup!C9,COUNT($C$4:$AG$4)))</f>
        <v/>
      </c>
      <c r="AJ8" s="29">
        <f>IF(B8="","",AH8/COUNT($C$4:$AG$4))</f>
        <v/>
      </c>
      <c r="AK8" s="29">
        <f>IF(OR(B8="",N(AI8)=0),"",MIN(1,AH8/AI8))</f>
        <v/>
      </c>
    </row>
    <row r="9" ht="20" customHeight="1">
      <c r="B9" s="18">
        <f>IF(Setup!B10="","",Setup!B10)</f>
        <v/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8">
        <f>IF(B9="","",COUNTIF(C9:AG9,"✓")+COUNTIF(C9:AG9,"x"))</f>
        <v/>
      </c>
      <c r="AI9" s="28">
        <f>IF(OR(B9="",Setup!C10=""),"",MIN(Setup!C10,COUNT($C$4:$AG$4)))</f>
        <v/>
      </c>
      <c r="AJ9" s="29">
        <f>IF(B9="","",AH9/COUNT($C$4:$AG$4))</f>
        <v/>
      </c>
      <c r="AK9" s="29">
        <f>IF(OR(B9="",N(AI9)=0),"",MIN(1,AH9/AI9))</f>
        <v/>
      </c>
    </row>
    <row r="10" ht="20" customHeight="1">
      <c r="B10" s="18">
        <f>IF(Setup!B11="","",Setup!B11)</f>
        <v/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8">
        <f>IF(B10="","",COUNTIF(C10:AG10,"✓")+COUNTIF(C10:AG10,"x"))</f>
        <v/>
      </c>
      <c r="AI10" s="28">
        <f>IF(OR(B10="",Setup!C11=""),"",MIN(Setup!C11,COUNT($C$4:$AG$4)))</f>
        <v/>
      </c>
      <c r="AJ10" s="29">
        <f>IF(B10="","",AH10/COUNT($C$4:$AG$4))</f>
        <v/>
      </c>
      <c r="AK10" s="29">
        <f>IF(OR(B10="",N(AI10)=0),"",MIN(1,AH10/AI10))</f>
        <v/>
      </c>
    </row>
    <row r="11" ht="20" customHeight="1">
      <c r="B11" s="18">
        <f>IF(Setup!B12="","",Setup!B12)</f>
        <v/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8">
        <f>IF(B11="","",COUNTIF(C11:AG11,"✓")+COUNTIF(C11:AG11,"x"))</f>
        <v/>
      </c>
      <c r="AI11" s="28">
        <f>IF(OR(B11="",Setup!C12=""),"",MIN(Setup!C12,COUNT($C$4:$AG$4)))</f>
        <v/>
      </c>
      <c r="AJ11" s="29">
        <f>IF(B11="","",AH11/COUNT($C$4:$AG$4))</f>
        <v/>
      </c>
      <c r="AK11" s="29">
        <f>IF(OR(B11="",N(AI11)=0),"",MIN(1,AH11/AI11))</f>
        <v/>
      </c>
    </row>
    <row r="12" ht="20" customHeight="1">
      <c r="B12" s="18">
        <f>IF(Setup!B13="","",Setup!B13)</f>
        <v/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8">
        <f>IF(B12="","",COUNTIF(C12:AG12,"✓")+COUNTIF(C12:AG12,"x"))</f>
        <v/>
      </c>
      <c r="AI12" s="28">
        <f>IF(OR(B12="",Setup!C13=""),"",MIN(Setup!C13,COUNT($C$4:$AG$4)))</f>
        <v/>
      </c>
      <c r="AJ12" s="29">
        <f>IF(B12="","",AH12/COUNT($C$4:$AG$4))</f>
        <v/>
      </c>
      <c r="AK12" s="29">
        <f>IF(OR(B12="",N(AI12)=0),"",MIN(1,AH12/AI12))</f>
        <v/>
      </c>
    </row>
    <row r="13" ht="20" customHeight="1">
      <c r="B13" s="18">
        <f>IF(Setup!B14="","",Setup!B14)</f>
        <v/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8">
        <f>IF(B13="","",COUNTIF(C13:AG13,"✓")+COUNTIF(C13:AG13,"x"))</f>
        <v/>
      </c>
      <c r="AI13" s="28">
        <f>IF(OR(B13="",Setup!C14=""),"",MIN(Setup!C14,COUNT($C$4:$AG$4)))</f>
        <v/>
      </c>
      <c r="AJ13" s="29">
        <f>IF(B13="","",AH13/COUNT($C$4:$AG$4))</f>
        <v/>
      </c>
      <c r="AK13" s="29">
        <f>IF(OR(B13="",N(AI13)=0),"",MIN(1,AH13/AI13))</f>
        <v/>
      </c>
    </row>
    <row r="14" ht="20" customHeight="1">
      <c r="B14" s="18">
        <f>IF(Setup!B15="","",Setup!B15)</f>
        <v/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8">
        <f>IF(B14="","",COUNTIF(C14:AG14,"✓")+COUNTIF(C14:AG14,"x"))</f>
        <v/>
      </c>
      <c r="AI14" s="28">
        <f>IF(OR(B14="",Setup!C15=""),"",MIN(Setup!C15,COUNT($C$4:$AG$4)))</f>
        <v/>
      </c>
      <c r="AJ14" s="29">
        <f>IF(B14="","",AH14/COUNT($C$4:$AG$4))</f>
        <v/>
      </c>
      <c r="AK14" s="29">
        <f>IF(OR(B14="",N(AI14)=0),"",MIN(1,AH14/AI14))</f>
        <v/>
      </c>
    </row>
    <row r="15" ht="20" customHeight="1">
      <c r="B15" s="18">
        <f>IF(Setup!B16="","",Setup!B16)</f>
        <v/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8">
        <f>IF(B15="","",COUNTIF(C15:AG15,"✓")+COUNTIF(C15:AG15,"x"))</f>
        <v/>
      </c>
      <c r="AI15" s="28">
        <f>IF(OR(B15="",Setup!C16=""),"",MIN(Setup!C16,COUNT($C$4:$AG$4)))</f>
        <v/>
      </c>
      <c r="AJ15" s="29">
        <f>IF(B15="","",AH15/COUNT($C$4:$AG$4))</f>
        <v/>
      </c>
      <c r="AK15" s="29">
        <f>IF(OR(B15="",N(AI15)=0),"",MIN(1,AH15/AI15))</f>
        <v/>
      </c>
    </row>
    <row r="16" ht="20" customHeight="1">
      <c r="B16" s="18">
        <f>IF(Setup!B17="","",Setup!B17)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8">
        <f>IF(B16="","",COUNTIF(C16:AG16,"✓")+COUNTIF(C16:AG16,"x"))</f>
        <v/>
      </c>
      <c r="AI16" s="28">
        <f>IF(OR(B16="",Setup!C17=""),"",MIN(Setup!C17,COUNT($C$4:$AG$4)))</f>
        <v/>
      </c>
      <c r="AJ16" s="29">
        <f>IF(B16="","",AH16/COUNT($C$4:$AG$4))</f>
        <v/>
      </c>
      <c r="AK16" s="29">
        <f>IF(OR(B16="",N(AI16)=0),"",MIN(1,AH16/AI16))</f>
        <v/>
      </c>
    </row>
    <row r="17" ht="20" customHeight="1">
      <c r="B17" s="18">
        <f>IF(Setup!B18="","",Setup!B18)</f>
        <v/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8">
        <f>IF(B17="","",COUNTIF(C17:AG17,"✓")+COUNTIF(C17:AG17,"x"))</f>
        <v/>
      </c>
      <c r="AI17" s="28">
        <f>IF(OR(B17="",Setup!C18=""),"",MIN(Setup!C18,COUNT($C$4:$AG$4)))</f>
        <v/>
      </c>
      <c r="AJ17" s="29">
        <f>IF(B17="","",AH17/COUNT($C$4:$AG$4))</f>
        <v/>
      </c>
      <c r="AK17" s="29">
        <f>IF(OR(B17="",N(AI17)=0),"",MIN(1,AH17/AI17))</f>
        <v/>
      </c>
    </row>
    <row r="18" ht="20" customHeight="1">
      <c r="B18" s="18">
        <f>IF(Setup!B19="","",Setup!B19)</f>
        <v/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8">
        <f>IF(B18="","",COUNTIF(C18:AG18,"✓")+COUNTIF(C18:AG18,"x"))</f>
        <v/>
      </c>
      <c r="AI18" s="28">
        <f>IF(OR(B18="",Setup!C19=""),"",MIN(Setup!C19,COUNT($C$4:$AG$4)))</f>
        <v/>
      </c>
      <c r="AJ18" s="29">
        <f>IF(B18="","",AH18/COUNT($C$4:$AG$4))</f>
        <v/>
      </c>
      <c r="AK18" s="29">
        <f>IF(OR(B18="",N(AI18)=0),"",MIN(1,AH18/AI18))</f>
        <v/>
      </c>
    </row>
    <row r="19" ht="20" customHeight="1">
      <c r="B19" s="18">
        <f>IF(Setup!B20="","",Setup!B20)</f>
        <v/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8">
        <f>IF(B19="","",COUNTIF(C19:AG19,"✓")+COUNTIF(C19:AG19,"x"))</f>
        <v/>
      </c>
      <c r="AI19" s="28">
        <f>IF(OR(B19="",Setup!C20=""),"",MIN(Setup!C20,COUNT($C$4:$AG$4)))</f>
        <v/>
      </c>
      <c r="AJ19" s="29">
        <f>IF(B19="","",AH19/COUNT($C$4:$AG$4))</f>
        <v/>
      </c>
      <c r="AK19" s="29">
        <f>IF(OR(B19="",N(AI19)=0),"",MIN(1,AH19/AI19))</f>
        <v/>
      </c>
    </row>
    <row r="20" ht="20" customHeight="1">
      <c r="B20" s="18">
        <f>IF(Setup!B21="","",Setup!B21)</f>
        <v/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8">
        <f>IF(B20="","",COUNTIF(C20:AG20,"✓")+COUNTIF(C20:AG20,"x"))</f>
        <v/>
      </c>
      <c r="AI20" s="28">
        <f>IF(OR(B20="",Setup!C21=""),"",MIN(Setup!C21,COUNT($C$4:$AG$4)))</f>
        <v/>
      </c>
      <c r="AJ20" s="29">
        <f>IF(B20="","",AH20/COUNT($C$4:$AG$4))</f>
        <v/>
      </c>
      <c r="AK20" s="29">
        <f>IF(OR(B20="",N(AI20)=0),"",MIN(1,AH20/AI20))</f>
        <v/>
      </c>
    </row>
    <row r="21">
      <c r="B21" s="30" t="inlineStr">
        <is>
          <t>Day complete</t>
        </is>
      </c>
      <c r="C21" s="31">
        <f>IF(OR(C4="",COUNTIF($B$6:$B$20,"?*")=0),"",(COUNTIF(C6:C20,"✓")+COUNTIF(C6:C20,"x"))/COUNTIF($B$6:$B$20,"?*"))</f>
        <v/>
      </c>
      <c r="D21" s="31">
        <f>IF(OR(D4="",COUNTIF($B$6:$B$20,"?*")=0),"",(COUNTIF(D6:D20,"✓")+COUNTIF(D6:D20,"x"))/COUNTIF($B$6:$B$20,"?*"))</f>
        <v/>
      </c>
      <c r="E21" s="31">
        <f>IF(OR(E4="",COUNTIF($B$6:$B$20,"?*")=0),"",(COUNTIF(E6:E20,"✓")+COUNTIF(E6:E20,"x"))/COUNTIF($B$6:$B$20,"?*"))</f>
        <v/>
      </c>
      <c r="F21" s="31">
        <f>IF(OR(F4="",COUNTIF($B$6:$B$20,"?*")=0),"",(COUNTIF(F6:F20,"✓")+COUNTIF(F6:F20,"x"))/COUNTIF($B$6:$B$20,"?*"))</f>
        <v/>
      </c>
      <c r="G21" s="31">
        <f>IF(OR(G4="",COUNTIF($B$6:$B$20,"?*")=0),"",(COUNTIF(G6:G20,"✓")+COUNTIF(G6:G20,"x"))/COUNTIF($B$6:$B$20,"?*"))</f>
        <v/>
      </c>
      <c r="H21" s="31">
        <f>IF(OR(H4="",COUNTIF($B$6:$B$20,"?*")=0),"",(COUNTIF(H6:H20,"✓")+COUNTIF(H6:H20,"x"))/COUNTIF($B$6:$B$20,"?*"))</f>
        <v/>
      </c>
      <c r="I21" s="31">
        <f>IF(OR(I4="",COUNTIF($B$6:$B$20,"?*")=0),"",(COUNTIF(I6:I20,"✓")+COUNTIF(I6:I20,"x"))/COUNTIF($B$6:$B$20,"?*"))</f>
        <v/>
      </c>
      <c r="J21" s="31">
        <f>IF(OR(J4="",COUNTIF($B$6:$B$20,"?*")=0),"",(COUNTIF(J6:J20,"✓")+COUNTIF(J6:J20,"x"))/COUNTIF($B$6:$B$20,"?*"))</f>
        <v/>
      </c>
      <c r="K21" s="31">
        <f>IF(OR(K4="",COUNTIF($B$6:$B$20,"?*")=0),"",(COUNTIF(K6:K20,"✓")+COUNTIF(K6:K20,"x"))/COUNTIF($B$6:$B$20,"?*"))</f>
        <v/>
      </c>
      <c r="L21" s="31">
        <f>IF(OR(L4="",COUNTIF($B$6:$B$20,"?*")=0),"",(COUNTIF(L6:L20,"✓")+COUNTIF(L6:L20,"x"))/COUNTIF($B$6:$B$20,"?*"))</f>
        <v/>
      </c>
      <c r="M21" s="31">
        <f>IF(OR(M4="",COUNTIF($B$6:$B$20,"?*")=0),"",(COUNTIF(M6:M20,"✓")+COUNTIF(M6:M20,"x"))/COUNTIF($B$6:$B$20,"?*"))</f>
        <v/>
      </c>
      <c r="N21" s="31">
        <f>IF(OR(N4="",COUNTIF($B$6:$B$20,"?*")=0),"",(COUNTIF(N6:N20,"✓")+COUNTIF(N6:N20,"x"))/COUNTIF($B$6:$B$20,"?*"))</f>
        <v/>
      </c>
      <c r="O21" s="31">
        <f>IF(OR(O4="",COUNTIF($B$6:$B$20,"?*")=0),"",(COUNTIF(O6:O20,"✓")+COUNTIF(O6:O20,"x"))/COUNTIF($B$6:$B$20,"?*"))</f>
        <v/>
      </c>
      <c r="P21" s="31">
        <f>IF(OR(P4="",COUNTIF($B$6:$B$20,"?*")=0),"",(COUNTIF(P6:P20,"✓")+COUNTIF(P6:P20,"x"))/COUNTIF($B$6:$B$20,"?*"))</f>
        <v/>
      </c>
      <c r="Q21" s="31">
        <f>IF(OR(Q4="",COUNTIF($B$6:$B$20,"?*")=0),"",(COUNTIF(Q6:Q20,"✓")+COUNTIF(Q6:Q20,"x"))/COUNTIF($B$6:$B$20,"?*"))</f>
        <v/>
      </c>
      <c r="R21" s="31">
        <f>IF(OR(R4="",COUNTIF($B$6:$B$20,"?*")=0),"",(COUNTIF(R6:R20,"✓")+COUNTIF(R6:R20,"x"))/COUNTIF($B$6:$B$20,"?*"))</f>
        <v/>
      </c>
      <c r="S21" s="31">
        <f>IF(OR(S4="",COUNTIF($B$6:$B$20,"?*")=0),"",(COUNTIF(S6:S20,"✓")+COUNTIF(S6:S20,"x"))/COUNTIF($B$6:$B$20,"?*"))</f>
        <v/>
      </c>
      <c r="T21" s="31">
        <f>IF(OR(T4="",COUNTIF($B$6:$B$20,"?*")=0),"",(COUNTIF(T6:T20,"✓")+COUNTIF(T6:T20,"x"))/COUNTIF($B$6:$B$20,"?*"))</f>
        <v/>
      </c>
      <c r="U21" s="31">
        <f>IF(OR(U4="",COUNTIF($B$6:$B$20,"?*")=0),"",(COUNTIF(U6:U20,"✓")+COUNTIF(U6:U20,"x"))/COUNTIF($B$6:$B$20,"?*"))</f>
        <v/>
      </c>
      <c r="V21" s="31">
        <f>IF(OR(V4="",COUNTIF($B$6:$B$20,"?*")=0),"",(COUNTIF(V6:V20,"✓")+COUNTIF(V6:V20,"x"))/COUNTIF($B$6:$B$20,"?*"))</f>
        <v/>
      </c>
      <c r="W21" s="31">
        <f>IF(OR(W4="",COUNTIF($B$6:$B$20,"?*")=0),"",(COUNTIF(W6:W20,"✓")+COUNTIF(W6:W20,"x"))/COUNTIF($B$6:$B$20,"?*"))</f>
        <v/>
      </c>
      <c r="X21" s="31">
        <f>IF(OR(X4="",COUNTIF($B$6:$B$20,"?*")=0),"",(COUNTIF(X6:X20,"✓")+COUNTIF(X6:X20,"x"))/COUNTIF($B$6:$B$20,"?*"))</f>
        <v/>
      </c>
      <c r="Y21" s="31">
        <f>IF(OR(Y4="",COUNTIF($B$6:$B$20,"?*")=0),"",(COUNTIF(Y6:Y20,"✓")+COUNTIF(Y6:Y20,"x"))/COUNTIF($B$6:$B$20,"?*"))</f>
        <v/>
      </c>
      <c r="Z21" s="31">
        <f>IF(OR(Z4="",COUNTIF($B$6:$B$20,"?*")=0),"",(COUNTIF(Z6:Z20,"✓")+COUNTIF(Z6:Z20,"x"))/COUNTIF($B$6:$B$20,"?*"))</f>
        <v/>
      </c>
      <c r="AA21" s="31">
        <f>IF(OR(AA4="",COUNTIF($B$6:$B$20,"?*")=0),"",(COUNTIF(AA6:AA20,"✓")+COUNTIF(AA6:AA20,"x"))/COUNTIF($B$6:$B$20,"?*"))</f>
        <v/>
      </c>
      <c r="AB21" s="31">
        <f>IF(OR(AB4="",COUNTIF($B$6:$B$20,"?*")=0),"",(COUNTIF(AB6:AB20,"✓")+COUNTIF(AB6:AB20,"x"))/COUNTIF($B$6:$B$20,"?*"))</f>
        <v/>
      </c>
      <c r="AC21" s="31">
        <f>IF(OR(AC4="",COUNTIF($B$6:$B$20,"?*")=0),"",(COUNTIF(AC6:AC20,"✓")+COUNTIF(AC6:AC20,"x"))/COUNTIF($B$6:$B$20,"?*"))</f>
        <v/>
      </c>
      <c r="AD21" s="31">
        <f>IF(OR(AD4="",COUNTIF($B$6:$B$20,"?*")=0),"",(COUNTIF(AD6:AD20,"✓")+COUNTIF(AD6:AD20,"x"))/COUNTIF($B$6:$B$20,"?*"))</f>
        <v/>
      </c>
      <c r="AE21" s="31">
        <f>IF(OR(AE4="",COUNTIF($B$6:$B$20,"?*")=0),"",(COUNTIF(AE6:AE20,"✓")+COUNTIF(AE6:AE20,"x"))/COUNTIF($B$6:$B$20,"?*"))</f>
        <v/>
      </c>
      <c r="AF21" s="31">
        <f>IF(OR(AF4="",COUNTIF($B$6:$B$20,"?*")=0),"",(COUNTIF(AF6:AF20,"✓")+COUNTIF(AF6:AF20,"x"))/COUNTIF($B$6:$B$20,"?*"))</f>
        <v/>
      </c>
      <c r="AG21" s="31">
        <f>IF(OR(AG4="",COUNTIF($B$6:$B$20,"?*")=0),"",(COUNTIF(AG6:AG20,"✓")+COUNTIF(AG6:AG20,"x"))/COUNTIF($B$6:$B$20,"?*"))</f>
        <v/>
      </c>
      <c r="AJ21" s="32">
        <f>IFERROR(AVERAGE(AJ6:AJ20),"")</f>
        <v/>
      </c>
    </row>
  </sheetData>
  <conditionalFormatting sqref="C6:AG20">
    <cfRule type="expression" priority="1" dxfId="0">
      <formula>C$4=""</formula>
    </cfRule>
    <cfRule type="expression" priority="2" dxfId="1">
      <formula>OR(C6="✓",C6="x")</formula>
    </cfRule>
  </conditionalFormatting>
  <conditionalFormatting sqref="C4:AG5">
    <cfRule type="expression" priority="3" dxfId="1">
      <formula>C$4=TODAY()</formula>
    </cfRule>
  </conditionalFormatting>
  <conditionalFormatting sqref="C21:AG21">
    <cfRule type="colorScale" priority="4">
      <colorScale>
        <cfvo type="num" val="0"/>
        <cfvo type="num" val="1"/>
        <color rgb="00FFFFFF"/>
        <color rgb="0034D399"/>
      </colorScale>
    </cfRule>
  </conditionalFormatting>
  <conditionalFormatting sqref="AK6:AK20">
    <cfRule type="dataBar" priority="5">
      <dataBar>
        <cfvo type="num" val="0"/>
        <cfvo type="num" val="1"/>
        <color rgb="0034D399"/>
      </dataBar>
    </cfRule>
  </conditionalFormatting>
  <dataValidations count="1">
    <dataValidation sqref="C6:AG20" showDropDown="0" showInputMessage="0" showErrorMessage="0" allowBlank="1" error="Use ✓ or x to mark a habit as done." type="list">
      <formula1>"✓,x"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34D399"/>
    <outlinePr summaryBelow="1" summaryRight="1"/>
    <pageSetUpPr fitToPage="1"/>
  </sheetPr>
  <dimension ref="A1:AK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8" customWidth="1" min="34" max="34"/>
    <col width="8" customWidth="1" min="35" max="35"/>
    <col width="10" customWidth="1" min="36" max="36"/>
    <col width="10" customWidth="1" min="37" max="37"/>
  </cols>
  <sheetData>
    <row r="1" ht="30" customHeight="1">
      <c r="A1" s="1">
        <f>TEXT(DATE(Setup!$C$4,5,1),"mmmm yyyy")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20" customHeight="1">
      <c r="A2" s="3" t="inlineStr">
        <is>
          <t>Mark ✓ when done  ·  علّم ✓ عند الإنجاز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4">
      <c r="B4" s="21" t="inlineStr">
        <is>
          <t>Habit</t>
        </is>
      </c>
      <c r="C4" s="22">
        <f>IF(MONTH(DATE(Setup!$C$4,5,1))=5,DATE(Setup!$C$4,5,1),"")</f>
        <v/>
      </c>
      <c r="D4" s="22">
        <f>IF(MONTH(DATE(Setup!$C$4,5,2))=5,DATE(Setup!$C$4,5,2),"")</f>
        <v/>
      </c>
      <c r="E4" s="22">
        <f>IF(MONTH(DATE(Setup!$C$4,5,3))=5,DATE(Setup!$C$4,5,3),"")</f>
        <v/>
      </c>
      <c r="F4" s="22">
        <f>IF(MONTH(DATE(Setup!$C$4,5,4))=5,DATE(Setup!$C$4,5,4),"")</f>
        <v/>
      </c>
      <c r="G4" s="22">
        <f>IF(MONTH(DATE(Setup!$C$4,5,5))=5,DATE(Setup!$C$4,5,5),"")</f>
        <v/>
      </c>
      <c r="H4" s="22">
        <f>IF(MONTH(DATE(Setup!$C$4,5,6))=5,DATE(Setup!$C$4,5,6),"")</f>
        <v/>
      </c>
      <c r="I4" s="22">
        <f>IF(MONTH(DATE(Setup!$C$4,5,7))=5,DATE(Setup!$C$4,5,7),"")</f>
        <v/>
      </c>
      <c r="J4" s="22">
        <f>IF(MONTH(DATE(Setup!$C$4,5,8))=5,DATE(Setup!$C$4,5,8),"")</f>
        <v/>
      </c>
      <c r="K4" s="22">
        <f>IF(MONTH(DATE(Setup!$C$4,5,9))=5,DATE(Setup!$C$4,5,9),"")</f>
        <v/>
      </c>
      <c r="L4" s="22">
        <f>IF(MONTH(DATE(Setup!$C$4,5,10))=5,DATE(Setup!$C$4,5,10),"")</f>
        <v/>
      </c>
      <c r="M4" s="22">
        <f>IF(MONTH(DATE(Setup!$C$4,5,11))=5,DATE(Setup!$C$4,5,11),"")</f>
        <v/>
      </c>
      <c r="N4" s="22">
        <f>IF(MONTH(DATE(Setup!$C$4,5,12))=5,DATE(Setup!$C$4,5,12),"")</f>
        <v/>
      </c>
      <c r="O4" s="22">
        <f>IF(MONTH(DATE(Setup!$C$4,5,13))=5,DATE(Setup!$C$4,5,13),"")</f>
        <v/>
      </c>
      <c r="P4" s="22">
        <f>IF(MONTH(DATE(Setup!$C$4,5,14))=5,DATE(Setup!$C$4,5,14),"")</f>
        <v/>
      </c>
      <c r="Q4" s="22">
        <f>IF(MONTH(DATE(Setup!$C$4,5,15))=5,DATE(Setup!$C$4,5,15),"")</f>
        <v/>
      </c>
      <c r="R4" s="22">
        <f>IF(MONTH(DATE(Setup!$C$4,5,16))=5,DATE(Setup!$C$4,5,16),"")</f>
        <v/>
      </c>
      <c r="S4" s="22">
        <f>IF(MONTH(DATE(Setup!$C$4,5,17))=5,DATE(Setup!$C$4,5,17),"")</f>
        <v/>
      </c>
      <c r="T4" s="22">
        <f>IF(MONTH(DATE(Setup!$C$4,5,18))=5,DATE(Setup!$C$4,5,18),"")</f>
        <v/>
      </c>
      <c r="U4" s="22">
        <f>IF(MONTH(DATE(Setup!$C$4,5,19))=5,DATE(Setup!$C$4,5,19),"")</f>
        <v/>
      </c>
      <c r="V4" s="22">
        <f>IF(MONTH(DATE(Setup!$C$4,5,20))=5,DATE(Setup!$C$4,5,20),"")</f>
        <v/>
      </c>
      <c r="W4" s="22">
        <f>IF(MONTH(DATE(Setup!$C$4,5,21))=5,DATE(Setup!$C$4,5,21),"")</f>
        <v/>
      </c>
      <c r="X4" s="22">
        <f>IF(MONTH(DATE(Setup!$C$4,5,22))=5,DATE(Setup!$C$4,5,22),"")</f>
        <v/>
      </c>
      <c r="Y4" s="22">
        <f>IF(MONTH(DATE(Setup!$C$4,5,23))=5,DATE(Setup!$C$4,5,23),"")</f>
        <v/>
      </c>
      <c r="Z4" s="22">
        <f>IF(MONTH(DATE(Setup!$C$4,5,24))=5,DATE(Setup!$C$4,5,24),"")</f>
        <v/>
      </c>
      <c r="AA4" s="22">
        <f>IF(MONTH(DATE(Setup!$C$4,5,25))=5,DATE(Setup!$C$4,5,25),"")</f>
        <v/>
      </c>
      <c r="AB4" s="22">
        <f>IF(MONTH(DATE(Setup!$C$4,5,26))=5,DATE(Setup!$C$4,5,26),"")</f>
        <v/>
      </c>
      <c r="AC4" s="22">
        <f>IF(MONTH(DATE(Setup!$C$4,5,27))=5,DATE(Setup!$C$4,5,27),"")</f>
        <v/>
      </c>
      <c r="AD4" s="22">
        <f>IF(MONTH(DATE(Setup!$C$4,5,28))=5,DATE(Setup!$C$4,5,28),"")</f>
        <v/>
      </c>
      <c r="AE4" s="22">
        <f>IF(MONTH(DATE(Setup!$C$4,5,29))=5,DATE(Setup!$C$4,5,29),"")</f>
        <v/>
      </c>
      <c r="AF4" s="22">
        <f>IF(MONTH(DATE(Setup!$C$4,5,30))=5,DATE(Setup!$C$4,5,30),"")</f>
        <v/>
      </c>
      <c r="AG4" s="22">
        <f>IF(MONTH(DATE(Setup!$C$4,5,31))=5,DATE(Setup!$C$4,5,31),"")</f>
        <v/>
      </c>
      <c r="AH4" s="23" t="inlineStr">
        <is>
          <t>Done</t>
        </is>
      </c>
      <c r="AI4" s="23" t="inlineStr">
        <is>
          <t>Goal</t>
        </is>
      </c>
      <c r="AJ4" s="23" t="inlineStr">
        <is>
          <t>Rate</t>
        </is>
      </c>
      <c r="AK4" s="23" t="inlineStr">
        <is>
          <t>vs goal</t>
        </is>
      </c>
    </row>
    <row r="5">
      <c r="B5" s="24" t="n"/>
      <c r="C5" s="25">
        <f>IF(C4="","",MID("SMTWTFS",WEEKDAY(C4),1))</f>
        <v/>
      </c>
      <c r="D5" s="25">
        <f>IF(D4="","",MID("SMTWTFS",WEEKDAY(D4),1))</f>
        <v/>
      </c>
      <c r="E5" s="25">
        <f>IF(E4="","",MID("SMTWTFS",WEEKDAY(E4),1))</f>
        <v/>
      </c>
      <c r="F5" s="25">
        <f>IF(F4="","",MID("SMTWTFS",WEEKDAY(F4),1))</f>
        <v/>
      </c>
      <c r="G5" s="25">
        <f>IF(G4="","",MID("SMTWTFS",WEEKDAY(G4),1))</f>
        <v/>
      </c>
      <c r="H5" s="25">
        <f>IF(H4="","",MID("SMTWTFS",WEEKDAY(H4),1))</f>
        <v/>
      </c>
      <c r="I5" s="25">
        <f>IF(I4="","",MID("SMTWTFS",WEEKDAY(I4),1))</f>
        <v/>
      </c>
      <c r="J5" s="25">
        <f>IF(J4="","",MID("SMTWTFS",WEEKDAY(J4),1))</f>
        <v/>
      </c>
      <c r="K5" s="25">
        <f>IF(K4="","",MID("SMTWTFS",WEEKDAY(K4),1))</f>
        <v/>
      </c>
      <c r="L5" s="25">
        <f>IF(L4="","",MID("SMTWTFS",WEEKDAY(L4),1))</f>
        <v/>
      </c>
      <c r="M5" s="25">
        <f>IF(M4="","",MID("SMTWTFS",WEEKDAY(M4),1))</f>
        <v/>
      </c>
      <c r="N5" s="25">
        <f>IF(N4="","",MID("SMTWTFS",WEEKDAY(N4),1))</f>
        <v/>
      </c>
      <c r="O5" s="25">
        <f>IF(O4="","",MID("SMTWTFS",WEEKDAY(O4),1))</f>
        <v/>
      </c>
      <c r="P5" s="25">
        <f>IF(P4="","",MID("SMTWTFS",WEEKDAY(P4),1))</f>
        <v/>
      </c>
      <c r="Q5" s="25">
        <f>IF(Q4="","",MID("SMTWTFS",WEEKDAY(Q4),1))</f>
        <v/>
      </c>
      <c r="R5" s="25">
        <f>IF(R4="","",MID("SMTWTFS",WEEKDAY(R4),1))</f>
        <v/>
      </c>
      <c r="S5" s="25">
        <f>IF(S4="","",MID("SMTWTFS",WEEKDAY(S4),1))</f>
        <v/>
      </c>
      <c r="T5" s="25">
        <f>IF(T4="","",MID("SMTWTFS",WEEKDAY(T4),1))</f>
        <v/>
      </c>
      <c r="U5" s="25">
        <f>IF(U4="","",MID("SMTWTFS",WEEKDAY(U4),1))</f>
        <v/>
      </c>
      <c r="V5" s="25">
        <f>IF(V4="","",MID("SMTWTFS",WEEKDAY(V4),1))</f>
        <v/>
      </c>
      <c r="W5" s="25">
        <f>IF(W4="","",MID("SMTWTFS",WEEKDAY(W4),1))</f>
        <v/>
      </c>
      <c r="X5" s="25">
        <f>IF(X4="","",MID("SMTWTFS",WEEKDAY(X4),1))</f>
        <v/>
      </c>
      <c r="Y5" s="25">
        <f>IF(Y4="","",MID("SMTWTFS",WEEKDAY(Y4),1))</f>
        <v/>
      </c>
      <c r="Z5" s="25">
        <f>IF(Z4="","",MID("SMTWTFS",WEEKDAY(Z4),1))</f>
        <v/>
      </c>
      <c r="AA5" s="25">
        <f>IF(AA4="","",MID("SMTWTFS",WEEKDAY(AA4),1))</f>
        <v/>
      </c>
      <c r="AB5" s="25">
        <f>IF(AB4="","",MID("SMTWTFS",WEEKDAY(AB4),1))</f>
        <v/>
      </c>
      <c r="AC5" s="25">
        <f>IF(AC4="","",MID("SMTWTFS",WEEKDAY(AC4),1))</f>
        <v/>
      </c>
      <c r="AD5" s="25">
        <f>IF(AD4="","",MID("SMTWTFS",WEEKDAY(AD4),1))</f>
        <v/>
      </c>
      <c r="AE5" s="25">
        <f>IF(AE4="","",MID("SMTWTFS",WEEKDAY(AE4),1))</f>
        <v/>
      </c>
      <c r="AF5" s="25">
        <f>IF(AF4="","",MID("SMTWTFS",WEEKDAY(AF4),1))</f>
        <v/>
      </c>
      <c r="AG5" s="25">
        <f>IF(AG4="","",MID("SMTWTFS",WEEKDAY(AG4),1))</f>
        <v/>
      </c>
      <c r="AH5" s="26" t="n"/>
      <c r="AI5" s="26" t="n"/>
      <c r="AJ5" s="26" t="n"/>
      <c r="AK5" s="26" t="n"/>
    </row>
    <row r="6" ht="20" customHeight="1">
      <c r="B6" s="18">
        <f>IF(Setup!B7="","",Setup!B7)</f>
        <v/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8">
        <f>IF(B6="","",COUNTIF(C6:AG6,"✓")+COUNTIF(C6:AG6,"x"))</f>
        <v/>
      </c>
      <c r="AI6" s="28">
        <f>IF(OR(B6="",Setup!C7=""),"",MIN(Setup!C7,COUNT($C$4:$AG$4)))</f>
        <v/>
      </c>
      <c r="AJ6" s="29">
        <f>IF(B6="","",AH6/COUNT($C$4:$AG$4))</f>
        <v/>
      </c>
      <c r="AK6" s="29">
        <f>IF(OR(B6="",N(AI6)=0),"",MIN(1,AH6/AI6))</f>
        <v/>
      </c>
    </row>
    <row r="7" ht="20" customHeight="1">
      <c r="B7" s="18">
        <f>IF(Setup!B8="","",Setup!B8)</f>
        <v/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8">
        <f>IF(B7="","",COUNTIF(C7:AG7,"✓")+COUNTIF(C7:AG7,"x"))</f>
        <v/>
      </c>
      <c r="AI7" s="28">
        <f>IF(OR(B7="",Setup!C8=""),"",MIN(Setup!C8,COUNT($C$4:$AG$4)))</f>
        <v/>
      </c>
      <c r="AJ7" s="29">
        <f>IF(B7="","",AH7/COUNT($C$4:$AG$4))</f>
        <v/>
      </c>
      <c r="AK7" s="29">
        <f>IF(OR(B7="",N(AI7)=0),"",MIN(1,AH7/AI7))</f>
        <v/>
      </c>
    </row>
    <row r="8" ht="20" customHeight="1">
      <c r="B8" s="18">
        <f>IF(Setup!B9="","",Setup!B9)</f>
        <v/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8">
        <f>IF(B8="","",COUNTIF(C8:AG8,"✓")+COUNTIF(C8:AG8,"x"))</f>
        <v/>
      </c>
      <c r="AI8" s="28">
        <f>IF(OR(B8="",Setup!C9=""),"",MIN(Setup!C9,COUNT($C$4:$AG$4)))</f>
        <v/>
      </c>
      <c r="AJ8" s="29">
        <f>IF(B8="","",AH8/COUNT($C$4:$AG$4))</f>
        <v/>
      </c>
      <c r="AK8" s="29">
        <f>IF(OR(B8="",N(AI8)=0),"",MIN(1,AH8/AI8))</f>
        <v/>
      </c>
    </row>
    <row r="9" ht="20" customHeight="1">
      <c r="B9" s="18">
        <f>IF(Setup!B10="","",Setup!B10)</f>
        <v/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8">
        <f>IF(B9="","",COUNTIF(C9:AG9,"✓")+COUNTIF(C9:AG9,"x"))</f>
        <v/>
      </c>
      <c r="AI9" s="28">
        <f>IF(OR(B9="",Setup!C10=""),"",MIN(Setup!C10,COUNT($C$4:$AG$4)))</f>
        <v/>
      </c>
      <c r="AJ9" s="29">
        <f>IF(B9="","",AH9/COUNT($C$4:$AG$4))</f>
        <v/>
      </c>
      <c r="AK9" s="29">
        <f>IF(OR(B9="",N(AI9)=0),"",MIN(1,AH9/AI9))</f>
        <v/>
      </c>
    </row>
    <row r="10" ht="20" customHeight="1">
      <c r="B10" s="18">
        <f>IF(Setup!B11="","",Setup!B11)</f>
        <v/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8">
        <f>IF(B10="","",COUNTIF(C10:AG10,"✓")+COUNTIF(C10:AG10,"x"))</f>
        <v/>
      </c>
      <c r="AI10" s="28">
        <f>IF(OR(B10="",Setup!C11=""),"",MIN(Setup!C11,COUNT($C$4:$AG$4)))</f>
        <v/>
      </c>
      <c r="AJ10" s="29">
        <f>IF(B10="","",AH10/COUNT($C$4:$AG$4))</f>
        <v/>
      </c>
      <c r="AK10" s="29">
        <f>IF(OR(B10="",N(AI10)=0),"",MIN(1,AH10/AI10))</f>
        <v/>
      </c>
    </row>
    <row r="11" ht="20" customHeight="1">
      <c r="B11" s="18">
        <f>IF(Setup!B12="","",Setup!B12)</f>
        <v/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8">
        <f>IF(B11="","",COUNTIF(C11:AG11,"✓")+COUNTIF(C11:AG11,"x"))</f>
        <v/>
      </c>
      <c r="AI11" s="28">
        <f>IF(OR(B11="",Setup!C12=""),"",MIN(Setup!C12,COUNT($C$4:$AG$4)))</f>
        <v/>
      </c>
      <c r="AJ11" s="29">
        <f>IF(B11="","",AH11/COUNT($C$4:$AG$4))</f>
        <v/>
      </c>
      <c r="AK11" s="29">
        <f>IF(OR(B11="",N(AI11)=0),"",MIN(1,AH11/AI11))</f>
        <v/>
      </c>
    </row>
    <row r="12" ht="20" customHeight="1">
      <c r="B12" s="18">
        <f>IF(Setup!B13="","",Setup!B13)</f>
        <v/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8">
        <f>IF(B12="","",COUNTIF(C12:AG12,"✓")+COUNTIF(C12:AG12,"x"))</f>
        <v/>
      </c>
      <c r="AI12" s="28">
        <f>IF(OR(B12="",Setup!C13=""),"",MIN(Setup!C13,COUNT($C$4:$AG$4)))</f>
        <v/>
      </c>
      <c r="AJ12" s="29">
        <f>IF(B12="","",AH12/COUNT($C$4:$AG$4))</f>
        <v/>
      </c>
      <c r="AK12" s="29">
        <f>IF(OR(B12="",N(AI12)=0),"",MIN(1,AH12/AI12))</f>
        <v/>
      </c>
    </row>
    <row r="13" ht="20" customHeight="1">
      <c r="B13" s="18">
        <f>IF(Setup!B14="","",Setup!B14)</f>
        <v/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8">
        <f>IF(B13="","",COUNTIF(C13:AG13,"✓")+COUNTIF(C13:AG13,"x"))</f>
        <v/>
      </c>
      <c r="AI13" s="28">
        <f>IF(OR(B13="",Setup!C14=""),"",MIN(Setup!C14,COUNT($C$4:$AG$4)))</f>
        <v/>
      </c>
      <c r="AJ13" s="29">
        <f>IF(B13="","",AH13/COUNT($C$4:$AG$4))</f>
        <v/>
      </c>
      <c r="AK13" s="29">
        <f>IF(OR(B13="",N(AI13)=0),"",MIN(1,AH13/AI13))</f>
        <v/>
      </c>
    </row>
    <row r="14" ht="20" customHeight="1">
      <c r="B14" s="18">
        <f>IF(Setup!B15="","",Setup!B15)</f>
        <v/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8">
        <f>IF(B14="","",COUNTIF(C14:AG14,"✓")+COUNTIF(C14:AG14,"x"))</f>
        <v/>
      </c>
      <c r="AI14" s="28">
        <f>IF(OR(B14="",Setup!C15=""),"",MIN(Setup!C15,COUNT($C$4:$AG$4)))</f>
        <v/>
      </c>
      <c r="AJ14" s="29">
        <f>IF(B14="","",AH14/COUNT($C$4:$AG$4))</f>
        <v/>
      </c>
      <c r="AK14" s="29">
        <f>IF(OR(B14="",N(AI14)=0),"",MIN(1,AH14/AI14))</f>
        <v/>
      </c>
    </row>
    <row r="15" ht="20" customHeight="1">
      <c r="B15" s="18">
        <f>IF(Setup!B16="","",Setup!B16)</f>
        <v/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8">
        <f>IF(B15="","",COUNTIF(C15:AG15,"✓")+COUNTIF(C15:AG15,"x"))</f>
        <v/>
      </c>
      <c r="AI15" s="28">
        <f>IF(OR(B15="",Setup!C16=""),"",MIN(Setup!C16,COUNT($C$4:$AG$4)))</f>
        <v/>
      </c>
      <c r="AJ15" s="29">
        <f>IF(B15="","",AH15/COUNT($C$4:$AG$4))</f>
        <v/>
      </c>
      <c r="AK15" s="29">
        <f>IF(OR(B15="",N(AI15)=0),"",MIN(1,AH15/AI15))</f>
        <v/>
      </c>
    </row>
    <row r="16" ht="20" customHeight="1">
      <c r="B16" s="18">
        <f>IF(Setup!B17="","",Setup!B17)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8">
        <f>IF(B16="","",COUNTIF(C16:AG16,"✓")+COUNTIF(C16:AG16,"x"))</f>
        <v/>
      </c>
      <c r="AI16" s="28">
        <f>IF(OR(B16="",Setup!C17=""),"",MIN(Setup!C17,COUNT($C$4:$AG$4)))</f>
        <v/>
      </c>
      <c r="AJ16" s="29">
        <f>IF(B16="","",AH16/COUNT($C$4:$AG$4))</f>
        <v/>
      </c>
      <c r="AK16" s="29">
        <f>IF(OR(B16="",N(AI16)=0),"",MIN(1,AH16/AI16))</f>
        <v/>
      </c>
    </row>
    <row r="17" ht="20" customHeight="1">
      <c r="B17" s="18">
        <f>IF(Setup!B18="","",Setup!B18)</f>
        <v/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8">
        <f>IF(B17="","",COUNTIF(C17:AG17,"✓")+COUNTIF(C17:AG17,"x"))</f>
        <v/>
      </c>
      <c r="AI17" s="28">
        <f>IF(OR(B17="",Setup!C18=""),"",MIN(Setup!C18,COUNT($C$4:$AG$4)))</f>
        <v/>
      </c>
      <c r="AJ17" s="29">
        <f>IF(B17="","",AH17/COUNT($C$4:$AG$4))</f>
        <v/>
      </c>
      <c r="AK17" s="29">
        <f>IF(OR(B17="",N(AI17)=0),"",MIN(1,AH17/AI17))</f>
        <v/>
      </c>
    </row>
    <row r="18" ht="20" customHeight="1">
      <c r="B18" s="18">
        <f>IF(Setup!B19="","",Setup!B19)</f>
        <v/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8">
        <f>IF(B18="","",COUNTIF(C18:AG18,"✓")+COUNTIF(C18:AG18,"x"))</f>
        <v/>
      </c>
      <c r="AI18" s="28">
        <f>IF(OR(B18="",Setup!C19=""),"",MIN(Setup!C19,COUNT($C$4:$AG$4)))</f>
        <v/>
      </c>
      <c r="AJ18" s="29">
        <f>IF(B18="","",AH18/COUNT($C$4:$AG$4))</f>
        <v/>
      </c>
      <c r="AK18" s="29">
        <f>IF(OR(B18="",N(AI18)=0),"",MIN(1,AH18/AI18))</f>
        <v/>
      </c>
    </row>
    <row r="19" ht="20" customHeight="1">
      <c r="B19" s="18">
        <f>IF(Setup!B20="","",Setup!B20)</f>
        <v/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8">
        <f>IF(B19="","",COUNTIF(C19:AG19,"✓")+COUNTIF(C19:AG19,"x"))</f>
        <v/>
      </c>
      <c r="AI19" s="28">
        <f>IF(OR(B19="",Setup!C20=""),"",MIN(Setup!C20,COUNT($C$4:$AG$4)))</f>
        <v/>
      </c>
      <c r="AJ19" s="29">
        <f>IF(B19="","",AH19/COUNT($C$4:$AG$4))</f>
        <v/>
      </c>
      <c r="AK19" s="29">
        <f>IF(OR(B19="",N(AI19)=0),"",MIN(1,AH19/AI19))</f>
        <v/>
      </c>
    </row>
    <row r="20" ht="20" customHeight="1">
      <c r="B20" s="18">
        <f>IF(Setup!B21="","",Setup!B21)</f>
        <v/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8">
        <f>IF(B20="","",COUNTIF(C20:AG20,"✓")+COUNTIF(C20:AG20,"x"))</f>
        <v/>
      </c>
      <c r="AI20" s="28">
        <f>IF(OR(B20="",Setup!C21=""),"",MIN(Setup!C21,COUNT($C$4:$AG$4)))</f>
        <v/>
      </c>
      <c r="AJ20" s="29">
        <f>IF(B20="","",AH20/COUNT($C$4:$AG$4))</f>
        <v/>
      </c>
      <c r="AK20" s="29">
        <f>IF(OR(B20="",N(AI20)=0),"",MIN(1,AH20/AI20))</f>
        <v/>
      </c>
    </row>
    <row r="21">
      <c r="B21" s="30" t="inlineStr">
        <is>
          <t>Day complete</t>
        </is>
      </c>
      <c r="C21" s="31">
        <f>IF(OR(C4="",COUNTIF($B$6:$B$20,"?*")=0),"",(COUNTIF(C6:C20,"✓")+COUNTIF(C6:C20,"x"))/COUNTIF($B$6:$B$20,"?*"))</f>
        <v/>
      </c>
      <c r="D21" s="31">
        <f>IF(OR(D4="",COUNTIF($B$6:$B$20,"?*")=0),"",(COUNTIF(D6:D20,"✓")+COUNTIF(D6:D20,"x"))/COUNTIF($B$6:$B$20,"?*"))</f>
        <v/>
      </c>
      <c r="E21" s="31">
        <f>IF(OR(E4="",COUNTIF($B$6:$B$20,"?*")=0),"",(COUNTIF(E6:E20,"✓")+COUNTIF(E6:E20,"x"))/COUNTIF($B$6:$B$20,"?*"))</f>
        <v/>
      </c>
      <c r="F21" s="31">
        <f>IF(OR(F4="",COUNTIF($B$6:$B$20,"?*")=0),"",(COUNTIF(F6:F20,"✓")+COUNTIF(F6:F20,"x"))/COUNTIF($B$6:$B$20,"?*"))</f>
        <v/>
      </c>
      <c r="G21" s="31">
        <f>IF(OR(G4="",COUNTIF($B$6:$B$20,"?*")=0),"",(COUNTIF(G6:G20,"✓")+COUNTIF(G6:G20,"x"))/COUNTIF($B$6:$B$20,"?*"))</f>
        <v/>
      </c>
      <c r="H21" s="31">
        <f>IF(OR(H4="",COUNTIF($B$6:$B$20,"?*")=0),"",(COUNTIF(H6:H20,"✓")+COUNTIF(H6:H20,"x"))/COUNTIF($B$6:$B$20,"?*"))</f>
        <v/>
      </c>
      <c r="I21" s="31">
        <f>IF(OR(I4="",COUNTIF($B$6:$B$20,"?*")=0),"",(COUNTIF(I6:I20,"✓")+COUNTIF(I6:I20,"x"))/COUNTIF($B$6:$B$20,"?*"))</f>
        <v/>
      </c>
      <c r="J21" s="31">
        <f>IF(OR(J4="",COUNTIF($B$6:$B$20,"?*")=0),"",(COUNTIF(J6:J20,"✓")+COUNTIF(J6:J20,"x"))/COUNTIF($B$6:$B$20,"?*"))</f>
        <v/>
      </c>
      <c r="K21" s="31">
        <f>IF(OR(K4="",COUNTIF($B$6:$B$20,"?*")=0),"",(COUNTIF(K6:K20,"✓")+COUNTIF(K6:K20,"x"))/COUNTIF($B$6:$B$20,"?*"))</f>
        <v/>
      </c>
      <c r="L21" s="31">
        <f>IF(OR(L4="",COUNTIF($B$6:$B$20,"?*")=0),"",(COUNTIF(L6:L20,"✓")+COUNTIF(L6:L20,"x"))/COUNTIF($B$6:$B$20,"?*"))</f>
        <v/>
      </c>
      <c r="M21" s="31">
        <f>IF(OR(M4="",COUNTIF($B$6:$B$20,"?*")=0),"",(COUNTIF(M6:M20,"✓")+COUNTIF(M6:M20,"x"))/COUNTIF($B$6:$B$20,"?*"))</f>
        <v/>
      </c>
      <c r="N21" s="31">
        <f>IF(OR(N4="",COUNTIF($B$6:$B$20,"?*")=0),"",(COUNTIF(N6:N20,"✓")+COUNTIF(N6:N20,"x"))/COUNTIF($B$6:$B$20,"?*"))</f>
        <v/>
      </c>
      <c r="O21" s="31">
        <f>IF(OR(O4="",COUNTIF($B$6:$B$20,"?*")=0),"",(COUNTIF(O6:O20,"✓")+COUNTIF(O6:O20,"x"))/COUNTIF($B$6:$B$20,"?*"))</f>
        <v/>
      </c>
      <c r="P21" s="31">
        <f>IF(OR(P4="",COUNTIF($B$6:$B$20,"?*")=0),"",(COUNTIF(P6:P20,"✓")+COUNTIF(P6:P20,"x"))/COUNTIF($B$6:$B$20,"?*"))</f>
        <v/>
      </c>
      <c r="Q21" s="31">
        <f>IF(OR(Q4="",COUNTIF($B$6:$B$20,"?*")=0),"",(COUNTIF(Q6:Q20,"✓")+COUNTIF(Q6:Q20,"x"))/COUNTIF($B$6:$B$20,"?*"))</f>
        <v/>
      </c>
      <c r="R21" s="31">
        <f>IF(OR(R4="",COUNTIF($B$6:$B$20,"?*")=0),"",(COUNTIF(R6:R20,"✓")+COUNTIF(R6:R20,"x"))/COUNTIF($B$6:$B$20,"?*"))</f>
        <v/>
      </c>
      <c r="S21" s="31">
        <f>IF(OR(S4="",COUNTIF($B$6:$B$20,"?*")=0),"",(COUNTIF(S6:S20,"✓")+COUNTIF(S6:S20,"x"))/COUNTIF($B$6:$B$20,"?*"))</f>
        <v/>
      </c>
      <c r="T21" s="31">
        <f>IF(OR(T4="",COUNTIF($B$6:$B$20,"?*")=0),"",(COUNTIF(T6:T20,"✓")+COUNTIF(T6:T20,"x"))/COUNTIF($B$6:$B$20,"?*"))</f>
        <v/>
      </c>
      <c r="U21" s="31">
        <f>IF(OR(U4="",COUNTIF($B$6:$B$20,"?*")=0),"",(COUNTIF(U6:U20,"✓")+COUNTIF(U6:U20,"x"))/COUNTIF($B$6:$B$20,"?*"))</f>
        <v/>
      </c>
      <c r="V21" s="31">
        <f>IF(OR(V4="",COUNTIF($B$6:$B$20,"?*")=0),"",(COUNTIF(V6:V20,"✓")+COUNTIF(V6:V20,"x"))/COUNTIF($B$6:$B$20,"?*"))</f>
        <v/>
      </c>
      <c r="W21" s="31">
        <f>IF(OR(W4="",COUNTIF($B$6:$B$20,"?*")=0),"",(COUNTIF(W6:W20,"✓")+COUNTIF(W6:W20,"x"))/COUNTIF($B$6:$B$20,"?*"))</f>
        <v/>
      </c>
      <c r="X21" s="31">
        <f>IF(OR(X4="",COUNTIF($B$6:$B$20,"?*")=0),"",(COUNTIF(X6:X20,"✓")+COUNTIF(X6:X20,"x"))/COUNTIF($B$6:$B$20,"?*"))</f>
        <v/>
      </c>
      <c r="Y21" s="31">
        <f>IF(OR(Y4="",COUNTIF($B$6:$B$20,"?*")=0),"",(COUNTIF(Y6:Y20,"✓")+COUNTIF(Y6:Y20,"x"))/COUNTIF($B$6:$B$20,"?*"))</f>
        <v/>
      </c>
      <c r="Z21" s="31">
        <f>IF(OR(Z4="",COUNTIF($B$6:$B$20,"?*")=0),"",(COUNTIF(Z6:Z20,"✓")+COUNTIF(Z6:Z20,"x"))/COUNTIF($B$6:$B$20,"?*"))</f>
        <v/>
      </c>
      <c r="AA21" s="31">
        <f>IF(OR(AA4="",COUNTIF($B$6:$B$20,"?*")=0),"",(COUNTIF(AA6:AA20,"✓")+COUNTIF(AA6:AA20,"x"))/COUNTIF($B$6:$B$20,"?*"))</f>
        <v/>
      </c>
      <c r="AB21" s="31">
        <f>IF(OR(AB4="",COUNTIF($B$6:$B$20,"?*")=0),"",(COUNTIF(AB6:AB20,"✓")+COUNTIF(AB6:AB20,"x"))/COUNTIF($B$6:$B$20,"?*"))</f>
        <v/>
      </c>
      <c r="AC21" s="31">
        <f>IF(OR(AC4="",COUNTIF($B$6:$B$20,"?*")=0),"",(COUNTIF(AC6:AC20,"✓")+COUNTIF(AC6:AC20,"x"))/COUNTIF($B$6:$B$20,"?*"))</f>
        <v/>
      </c>
      <c r="AD21" s="31">
        <f>IF(OR(AD4="",COUNTIF($B$6:$B$20,"?*")=0),"",(COUNTIF(AD6:AD20,"✓")+COUNTIF(AD6:AD20,"x"))/COUNTIF($B$6:$B$20,"?*"))</f>
        <v/>
      </c>
      <c r="AE21" s="31">
        <f>IF(OR(AE4="",COUNTIF($B$6:$B$20,"?*")=0),"",(COUNTIF(AE6:AE20,"✓")+COUNTIF(AE6:AE20,"x"))/COUNTIF($B$6:$B$20,"?*"))</f>
        <v/>
      </c>
      <c r="AF21" s="31">
        <f>IF(OR(AF4="",COUNTIF($B$6:$B$20,"?*")=0),"",(COUNTIF(AF6:AF20,"✓")+COUNTIF(AF6:AF20,"x"))/COUNTIF($B$6:$B$20,"?*"))</f>
        <v/>
      </c>
      <c r="AG21" s="31">
        <f>IF(OR(AG4="",COUNTIF($B$6:$B$20,"?*")=0),"",(COUNTIF(AG6:AG20,"✓")+COUNTIF(AG6:AG20,"x"))/COUNTIF($B$6:$B$20,"?*"))</f>
        <v/>
      </c>
      <c r="AJ21" s="32">
        <f>IFERROR(AVERAGE(AJ6:AJ20),"")</f>
        <v/>
      </c>
    </row>
  </sheetData>
  <conditionalFormatting sqref="C6:AG20">
    <cfRule type="expression" priority="1" dxfId="0">
      <formula>C$4=""</formula>
    </cfRule>
    <cfRule type="expression" priority="2" dxfId="1">
      <formula>OR(C6="✓",C6="x")</formula>
    </cfRule>
  </conditionalFormatting>
  <conditionalFormatting sqref="C4:AG5">
    <cfRule type="expression" priority="3" dxfId="1">
      <formula>C$4=TODAY()</formula>
    </cfRule>
  </conditionalFormatting>
  <conditionalFormatting sqref="C21:AG21">
    <cfRule type="colorScale" priority="4">
      <colorScale>
        <cfvo type="num" val="0"/>
        <cfvo type="num" val="1"/>
        <color rgb="00FFFFFF"/>
        <color rgb="0034D399"/>
      </colorScale>
    </cfRule>
  </conditionalFormatting>
  <conditionalFormatting sqref="AK6:AK20">
    <cfRule type="dataBar" priority="5">
      <dataBar>
        <cfvo type="num" val="0"/>
        <cfvo type="num" val="1"/>
        <color rgb="0034D399"/>
      </dataBar>
    </cfRule>
  </conditionalFormatting>
  <dataValidations count="1">
    <dataValidation sqref="C6:AG20" showDropDown="0" showInputMessage="0" showErrorMessage="0" allowBlank="1" error="Use ✓ or x to mark a habit as done." type="list">
      <formula1>"✓,x"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34D399"/>
    <outlinePr summaryBelow="1" summaryRight="1"/>
    <pageSetUpPr fitToPage="1"/>
  </sheetPr>
  <dimension ref="A1:AK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8" customWidth="1" min="34" max="34"/>
    <col width="8" customWidth="1" min="35" max="35"/>
    <col width="10" customWidth="1" min="36" max="36"/>
    <col width="10" customWidth="1" min="37" max="37"/>
  </cols>
  <sheetData>
    <row r="1" ht="30" customHeight="1">
      <c r="A1" s="1">
        <f>TEXT(DATE(Setup!$C$4,6,1),"mmmm yyyy")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20" customHeight="1">
      <c r="A2" s="3" t="inlineStr">
        <is>
          <t>Mark ✓ when done  ·  علّم ✓ عند الإنجاز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4">
      <c r="B4" s="21" t="inlineStr">
        <is>
          <t>Habit</t>
        </is>
      </c>
      <c r="C4" s="22">
        <f>IF(MONTH(DATE(Setup!$C$4,6,1))=6,DATE(Setup!$C$4,6,1),"")</f>
        <v/>
      </c>
      <c r="D4" s="22">
        <f>IF(MONTH(DATE(Setup!$C$4,6,2))=6,DATE(Setup!$C$4,6,2),"")</f>
        <v/>
      </c>
      <c r="E4" s="22">
        <f>IF(MONTH(DATE(Setup!$C$4,6,3))=6,DATE(Setup!$C$4,6,3),"")</f>
        <v/>
      </c>
      <c r="F4" s="22">
        <f>IF(MONTH(DATE(Setup!$C$4,6,4))=6,DATE(Setup!$C$4,6,4),"")</f>
        <v/>
      </c>
      <c r="G4" s="22">
        <f>IF(MONTH(DATE(Setup!$C$4,6,5))=6,DATE(Setup!$C$4,6,5),"")</f>
        <v/>
      </c>
      <c r="H4" s="22">
        <f>IF(MONTH(DATE(Setup!$C$4,6,6))=6,DATE(Setup!$C$4,6,6),"")</f>
        <v/>
      </c>
      <c r="I4" s="22">
        <f>IF(MONTH(DATE(Setup!$C$4,6,7))=6,DATE(Setup!$C$4,6,7),"")</f>
        <v/>
      </c>
      <c r="J4" s="22">
        <f>IF(MONTH(DATE(Setup!$C$4,6,8))=6,DATE(Setup!$C$4,6,8),"")</f>
        <v/>
      </c>
      <c r="K4" s="22">
        <f>IF(MONTH(DATE(Setup!$C$4,6,9))=6,DATE(Setup!$C$4,6,9),"")</f>
        <v/>
      </c>
      <c r="L4" s="22">
        <f>IF(MONTH(DATE(Setup!$C$4,6,10))=6,DATE(Setup!$C$4,6,10),"")</f>
        <v/>
      </c>
      <c r="M4" s="22">
        <f>IF(MONTH(DATE(Setup!$C$4,6,11))=6,DATE(Setup!$C$4,6,11),"")</f>
        <v/>
      </c>
      <c r="N4" s="22">
        <f>IF(MONTH(DATE(Setup!$C$4,6,12))=6,DATE(Setup!$C$4,6,12),"")</f>
        <v/>
      </c>
      <c r="O4" s="22">
        <f>IF(MONTH(DATE(Setup!$C$4,6,13))=6,DATE(Setup!$C$4,6,13),"")</f>
        <v/>
      </c>
      <c r="P4" s="22">
        <f>IF(MONTH(DATE(Setup!$C$4,6,14))=6,DATE(Setup!$C$4,6,14),"")</f>
        <v/>
      </c>
      <c r="Q4" s="22">
        <f>IF(MONTH(DATE(Setup!$C$4,6,15))=6,DATE(Setup!$C$4,6,15),"")</f>
        <v/>
      </c>
      <c r="R4" s="22">
        <f>IF(MONTH(DATE(Setup!$C$4,6,16))=6,DATE(Setup!$C$4,6,16),"")</f>
        <v/>
      </c>
      <c r="S4" s="22">
        <f>IF(MONTH(DATE(Setup!$C$4,6,17))=6,DATE(Setup!$C$4,6,17),"")</f>
        <v/>
      </c>
      <c r="T4" s="22">
        <f>IF(MONTH(DATE(Setup!$C$4,6,18))=6,DATE(Setup!$C$4,6,18),"")</f>
        <v/>
      </c>
      <c r="U4" s="22">
        <f>IF(MONTH(DATE(Setup!$C$4,6,19))=6,DATE(Setup!$C$4,6,19),"")</f>
        <v/>
      </c>
      <c r="V4" s="22">
        <f>IF(MONTH(DATE(Setup!$C$4,6,20))=6,DATE(Setup!$C$4,6,20),"")</f>
        <v/>
      </c>
      <c r="W4" s="22">
        <f>IF(MONTH(DATE(Setup!$C$4,6,21))=6,DATE(Setup!$C$4,6,21),"")</f>
        <v/>
      </c>
      <c r="X4" s="22">
        <f>IF(MONTH(DATE(Setup!$C$4,6,22))=6,DATE(Setup!$C$4,6,22),"")</f>
        <v/>
      </c>
      <c r="Y4" s="22">
        <f>IF(MONTH(DATE(Setup!$C$4,6,23))=6,DATE(Setup!$C$4,6,23),"")</f>
        <v/>
      </c>
      <c r="Z4" s="22">
        <f>IF(MONTH(DATE(Setup!$C$4,6,24))=6,DATE(Setup!$C$4,6,24),"")</f>
        <v/>
      </c>
      <c r="AA4" s="22">
        <f>IF(MONTH(DATE(Setup!$C$4,6,25))=6,DATE(Setup!$C$4,6,25),"")</f>
        <v/>
      </c>
      <c r="AB4" s="22">
        <f>IF(MONTH(DATE(Setup!$C$4,6,26))=6,DATE(Setup!$C$4,6,26),"")</f>
        <v/>
      </c>
      <c r="AC4" s="22">
        <f>IF(MONTH(DATE(Setup!$C$4,6,27))=6,DATE(Setup!$C$4,6,27),"")</f>
        <v/>
      </c>
      <c r="AD4" s="22">
        <f>IF(MONTH(DATE(Setup!$C$4,6,28))=6,DATE(Setup!$C$4,6,28),"")</f>
        <v/>
      </c>
      <c r="AE4" s="22">
        <f>IF(MONTH(DATE(Setup!$C$4,6,29))=6,DATE(Setup!$C$4,6,29),"")</f>
        <v/>
      </c>
      <c r="AF4" s="22">
        <f>IF(MONTH(DATE(Setup!$C$4,6,30))=6,DATE(Setup!$C$4,6,30),"")</f>
        <v/>
      </c>
      <c r="AG4" s="22">
        <f>IF(MONTH(DATE(Setup!$C$4,6,31))=6,DATE(Setup!$C$4,6,31),"")</f>
        <v/>
      </c>
      <c r="AH4" s="23" t="inlineStr">
        <is>
          <t>Done</t>
        </is>
      </c>
      <c r="AI4" s="23" t="inlineStr">
        <is>
          <t>Goal</t>
        </is>
      </c>
      <c r="AJ4" s="23" t="inlineStr">
        <is>
          <t>Rate</t>
        </is>
      </c>
      <c r="AK4" s="23" t="inlineStr">
        <is>
          <t>vs goal</t>
        </is>
      </c>
    </row>
    <row r="5">
      <c r="B5" s="24" t="n"/>
      <c r="C5" s="25">
        <f>IF(C4="","",MID("SMTWTFS",WEEKDAY(C4),1))</f>
        <v/>
      </c>
      <c r="D5" s="25">
        <f>IF(D4="","",MID("SMTWTFS",WEEKDAY(D4),1))</f>
        <v/>
      </c>
      <c r="E5" s="25">
        <f>IF(E4="","",MID("SMTWTFS",WEEKDAY(E4),1))</f>
        <v/>
      </c>
      <c r="F5" s="25">
        <f>IF(F4="","",MID("SMTWTFS",WEEKDAY(F4),1))</f>
        <v/>
      </c>
      <c r="G5" s="25">
        <f>IF(G4="","",MID("SMTWTFS",WEEKDAY(G4),1))</f>
        <v/>
      </c>
      <c r="H5" s="25">
        <f>IF(H4="","",MID("SMTWTFS",WEEKDAY(H4),1))</f>
        <v/>
      </c>
      <c r="I5" s="25">
        <f>IF(I4="","",MID("SMTWTFS",WEEKDAY(I4),1))</f>
        <v/>
      </c>
      <c r="J5" s="25">
        <f>IF(J4="","",MID("SMTWTFS",WEEKDAY(J4),1))</f>
        <v/>
      </c>
      <c r="K5" s="25">
        <f>IF(K4="","",MID("SMTWTFS",WEEKDAY(K4),1))</f>
        <v/>
      </c>
      <c r="L5" s="25">
        <f>IF(L4="","",MID("SMTWTFS",WEEKDAY(L4),1))</f>
        <v/>
      </c>
      <c r="M5" s="25">
        <f>IF(M4="","",MID("SMTWTFS",WEEKDAY(M4),1))</f>
        <v/>
      </c>
      <c r="N5" s="25">
        <f>IF(N4="","",MID("SMTWTFS",WEEKDAY(N4),1))</f>
        <v/>
      </c>
      <c r="O5" s="25">
        <f>IF(O4="","",MID("SMTWTFS",WEEKDAY(O4),1))</f>
        <v/>
      </c>
      <c r="P5" s="25">
        <f>IF(P4="","",MID("SMTWTFS",WEEKDAY(P4),1))</f>
        <v/>
      </c>
      <c r="Q5" s="25">
        <f>IF(Q4="","",MID("SMTWTFS",WEEKDAY(Q4),1))</f>
        <v/>
      </c>
      <c r="R5" s="25">
        <f>IF(R4="","",MID("SMTWTFS",WEEKDAY(R4),1))</f>
        <v/>
      </c>
      <c r="S5" s="25">
        <f>IF(S4="","",MID("SMTWTFS",WEEKDAY(S4),1))</f>
        <v/>
      </c>
      <c r="T5" s="25">
        <f>IF(T4="","",MID("SMTWTFS",WEEKDAY(T4),1))</f>
        <v/>
      </c>
      <c r="U5" s="25">
        <f>IF(U4="","",MID("SMTWTFS",WEEKDAY(U4),1))</f>
        <v/>
      </c>
      <c r="V5" s="25">
        <f>IF(V4="","",MID("SMTWTFS",WEEKDAY(V4),1))</f>
        <v/>
      </c>
      <c r="W5" s="25">
        <f>IF(W4="","",MID("SMTWTFS",WEEKDAY(W4),1))</f>
        <v/>
      </c>
      <c r="X5" s="25">
        <f>IF(X4="","",MID("SMTWTFS",WEEKDAY(X4),1))</f>
        <v/>
      </c>
      <c r="Y5" s="25">
        <f>IF(Y4="","",MID("SMTWTFS",WEEKDAY(Y4),1))</f>
        <v/>
      </c>
      <c r="Z5" s="25">
        <f>IF(Z4="","",MID("SMTWTFS",WEEKDAY(Z4),1))</f>
        <v/>
      </c>
      <c r="AA5" s="25">
        <f>IF(AA4="","",MID("SMTWTFS",WEEKDAY(AA4),1))</f>
        <v/>
      </c>
      <c r="AB5" s="25">
        <f>IF(AB4="","",MID("SMTWTFS",WEEKDAY(AB4),1))</f>
        <v/>
      </c>
      <c r="AC5" s="25">
        <f>IF(AC4="","",MID("SMTWTFS",WEEKDAY(AC4),1))</f>
        <v/>
      </c>
      <c r="AD5" s="25">
        <f>IF(AD4="","",MID("SMTWTFS",WEEKDAY(AD4),1))</f>
        <v/>
      </c>
      <c r="AE5" s="25">
        <f>IF(AE4="","",MID("SMTWTFS",WEEKDAY(AE4),1))</f>
        <v/>
      </c>
      <c r="AF5" s="25">
        <f>IF(AF4="","",MID("SMTWTFS",WEEKDAY(AF4),1))</f>
        <v/>
      </c>
      <c r="AG5" s="25">
        <f>IF(AG4="","",MID("SMTWTFS",WEEKDAY(AG4),1))</f>
        <v/>
      </c>
      <c r="AH5" s="26" t="n"/>
      <c r="AI5" s="26" t="n"/>
      <c r="AJ5" s="26" t="n"/>
      <c r="AK5" s="26" t="n"/>
    </row>
    <row r="6" ht="20" customHeight="1">
      <c r="B6" s="18">
        <f>IF(Setup!B7="","",Setup!B7)</f>
        <v/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8">
        <f>IF(B6="","",COUNTIF(C6:AG6,"✓")+COUNTIF(C6:AG6,"x"))</f>
        <v/>
      </c>
      <c r="AI6" s="28">
        <f>IF(OR(B6="",Setup!C7=""),"",MIN(Setup!C7,COUNT($C$4:$AG$4)))</f>
        <v/>
      </c>
      <c r="AJ6" s="29">
        <f>IF(B6="","",AH6/COUNT($C$4:$AG$4))</f>
        <v/>
      </c>
      <c r="AK6" s="29">
        <f>IF(OR(B6="",N(AI6)=0),"",MIN(1,AH6/AI6))</f>
        <v/>
      </c>
    </row>
    <row r="7" ht="20" customHeight="1">
      <c r="B7" s="18">
        <f>IF(Setup!B8="","",Setup!B8)</f>
        <v/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8">
        <f>IF(B7="","",COUNTIF(C7:AG7,"✓")+COUNTIF(C7:AG7,"x"))</f>
        <v/>
      </c>
      <c r="AI7" s="28">
        <f>IF(OR(B7="",Setup!C8=""),"",MIN(Setup!C8,COUNT($C$4:$AG$4)))</f>
        <v/>
      </c>
      <c r="AJ7" s="29">
        <f>IF(B7="","",AH7/COUNT($C$4:$AG$4))</f>
        <v/>
      </c>
      <c r="AK7" s="29">
        <f>IF(OR(B7="",N(AI7)=0),"",MIN(1,AH7/AI7))</f>
        <v/>
      </c>
    </row>
    <row r="8" ht="20" customHeight="1">
      <c r="B8" s="18">
        <f>IF(Setup!B9="","",Setup!B9)</f>
        <v/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8">
        <f>IF(B8="","",COUNTIF(C8:AG8,"✓")+COUNTIF(C8:AG8,"x"))</f>
        <v/>
      </c>
      <c r="AI8" s="28">
        <f>IF(OR(B8="",Setup!C9=""),"",MIN(Setup!C9,COUNT($C$4:$AG$4)))</f>
        <v/>
      </c>
      <c r="AJ8" s="29">
        <f>IF(B8="","",AH8/COUNT($C$4:$AG$4))</f>
        <v/>
      </c>
      <c r="AK8" s="29">
        <f>IF(OR(B8="",N(AI8)=0),"",MIN(1,AH8/AI8))</f>
        <v/>
      </c>
    </row>
    <row r="9" ht="20" customHeight="1">
      <c r="B9" s="18">
        <f>IF(Setup!B10="","",Setup!B10)</f>
        <v/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8">
        <f>IF(B9="","",COUNTIF(C9:AG9,"✓")+COUNTIF(C9:AG9,"x"))</f>
        <v/>
      </c>
      <c r="AI9" s="28">
        <f>IF(OR(B9="",Setup!C10=""),"",MIN(Setup!C10,COUNT($C$4:$AG$4)))</f>
        <v/>
      </c>
      <c r="AJ9" s="29">
        <f>IF(B9="","",AH9/COUNT($C$4:$AG$4))</f>
        <v/>
      </c>
      <c r="AK9" s="29">
        <f>IF(OR(B9="",N(AI9)=0),"",MIN(1,AH9/AI9))</f>
        <v/>
      </c>
    </row>
    <row r="10" ht="20" customHeight="1">
      <c r="B10" s="18">
        <f>IF(Setup!B11="","",Setup!B11)</f>
        <v/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8">
        <f>IF(B10="","",COUNTIF(C10:AG10,"✓")+COUNTIF(C10:AG10,"x"))</f>
        <v/>
      </c>
      <c r="AI10" s="28">
        <f>IF(OR(B10="",Setup!C11=""),"",MIN(Setup!C11,COUNT($C$4:$AG$4)))</f>
        <v/>
      </c>
      <c r="AJ10" s="29">
        <f>IF(B10="","",AH10/COUNT($C$4:$AG$4))</f>
        <v/>
      </c>
      <c r="AK10" s="29">
        <f>IF(OR(B10="",N(AI10)=0),"",MIN(1,AH10/AI10))</f>
        <v/>
      </c>
    </row>
    <row r="11" ht="20" customHeight="1">
      <c r="B11" s="18">
        <f>IF(Setup!B12="","",Setup!B12)</f>
        <v/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8">
        <f>IF(B11="","",COUNTIF(C11:AG11,"✓")+COUNTIF(C11:AG11,"x"))</f>
        <v/>
      </c>
      <c r="AI11" s="28">
        <f>IF(OR(B11="",Setup!C12=""),"",MIN(Setup!C12,COUNT($C$4:$AG$4)))</f>
        <v/>
      </c>
      <c r="AJ11" s="29">
        <f>IF(B11="","",AH11/COUNT($C$4:$AG$4))</f>
        <v/>
      </c>
      <c r="AK11" s="29">
        <f>IF(OR(B11="",N(AI11)=0),"",MIN(1,AH11/AI11))</f>
        <v/>
      </c>
    </row>
    <row r="12" ht="20" customHeight="1">
      <c r="B12" s="18">
        <f>IF(Setup!B13="","",Setup!B13)</f>
        <v/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8">
        <f>IF(B12="","",COUNTIF(C12:AG12,"✓")+COUNTIF(C12:AG12,"x"))</f>
        <v/>
      </c>
      <c r="AI12" s="28">
        <f>IF(OR(B12="",Setup!C13=""),"",MIN(Setup!C13,COUNT($C$4:$AG$4)))</f>
        <v/>
      </c>
      <c r="AJ12" s="29">
        <f>IF(B12="","",AH12/COUNT($C$4:$AG$4))</f>
        <v/>
      </c>
      <c r="AK12" s="29">
        <f>IF(OR(B12="",N(AI12)=0),"",MIN(1,AH12/AI12))</f>
        <v/>
      </c>
    </row>
    <row r="13" ht="20" customHeight="1">
      <c r="B13" s="18">
        <f>IF(Setup!B14="","",Setup!B14)</f>
        <v/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8">
        <f>IF(B13="","",COUNTIF(C13:AG13,"✓")+COUNTIF(C13:AG13,"x"))</f>
        <v/>
      </c>
      <c r="AI13" s="28">
        <f>IF(OR(B13="",Setup!C14=""),"",MIN(Setup!C14,COUNT($C$4:$AG$4)))</f>
        <v/>
      </c>
      <c r="AJ13" s="29">
        <f>IF(B13="","",AH13/COUNT($C$4:$AG$4))</f>
        <v/>
      </c>
      <c r="AK13" s="29">
        <f>IF(OR(B13="",N(AI13)=0),"",MIN(1,AH13/AI13))</f>
        <v/>
      </c>
    </row>
    <row r="14" ht="20" customHeight="1">
      <c r="B14" s="18">
        <f>IF(Setup!B15="","",Setup!B15)</f>
        <v/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8">
        <f>IF(B14="","",COUNTIF(C14:AG14,"✓")+COUNTIF(C14:AG14,"x"))</f>
        <v/>
      </c>
      <c r="AI14" s="28">
        <f>IF(OR(B14="",Setup!C15=""),"",MIN(Setup!C15,COUNT($C$4:$AG$4)))</f>
        <v/>
      </c>
      <c r="AJ14" s="29">
        <f>IF(B14="","",AH14/COUNT($C$4:$AG$4))</f>
        <v/>
      </c>
      <c r="AK14" s="29">
        <f>IF(OR(B14="",N(AI14)=0),"",MIN(1,AH14/AI14))</f>
        <v/>
      </c>
    </row>
    <row r="15" ht="20" customHeight="1">
      <c r="B15" s="18">
        <f>IF(Setup!B16="","",Setup!B16)</f>
        <v/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8">
        <f>IF(B15="","",COUNTIF(C15:AG15,"✓")+COUNTIF(C15:AG15,"x"))</f>
        <v/>
      </c>
      <c r="AI15" s="28">
        <f>IF(OR(B15="",Setup!C16=""),"",MIN(Setup!C16,COUNT($C$4:$AG$4)))</f>
        <v/>
      </c>
      <c r="AJ15" s="29">
        <f>IF(B15="","",AH15/COUNT($C$4:$AG$4))</f>
        <v/>
      </c>
      <c r="AK15" s="29">
        <f>IF(OR(B15="",N(AI15)=0),"",MIN(1,AH15/AI15))</f>
        <v/>
      </c>
    </row>
    <row r="16" ht="20" customHeight="1">
      <c r="B16" s="18">
        <f>IF(Setup!B17="","",Setup!B17)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8">
        <f>IF(B16="","",COUNTIF(C16:AG16,"✓")+COUNTIF(C16:AG16,"x"))</f>
        <v/>
      </c>
      <c r="AI16" s="28">
        <f>IF(OR(B16="",Setup!C17=""),"",MIN(Setup!C17,COUNT($C$4:$AG$4)))</f>
        <v/>
      </c>
      <c r="AJ16" s="29">
        <f>IF(B16="","",AH16/COUNT($C$4:$AG$4))</f>
        <v/>
      </c>
      <c r="AK16" s="29">
        <f>IF(OR(B16="",N(AI16)=0),"",MIN(1,AH16/AI16))</f>
        <v/>
      </c>
    </row>
    <row r="17" ht="20" customHeight="1">
      <c r="B17" s="18">
        <f>IF(Setup!B18="","",Setup!B18)</f>
        <v/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8">
        <f>IF(B17="","",COUNTIF(C17:AG17,"✓")+COUNTIF(C17:AG17,"x"))</f>
        <v/>
      </c>
      <c r="AI17" s="28">
        <f>IF(OR(B17="",Setup!C18=""),"",MIN(Setup!C18,COUNT($C$4:$AG$4)))</f>
        <v/>
      </c>
      <c r="AJ17" s="29">
        <f>IF(B17="","",AH17/COUNT($C$4:$AG$4))</f>
        <v/>
      </c>
      <c r="AK17" s="29">
        <f>IF(OR(B17="",N(AI17)=0),"",MIN(1,AH17/AI17))</f>
        <v/>
      </c>
    </row>
    <row r="18" ht="20" customHeight="1">
      <c r="B18" s="18">
        <f>IF(Setup!B19="","",Setup!B19)</f>
        <v/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8">
        <f>IF(B18="","",COUNTIF(C18:AG18,"✓")+COUNTIF(C18:AG18,"x"))</f>
        <v/>
      </c>
      <c r="AI18" s="28">
        <f>IF(OR(B18="",Setup!C19=""),"",MIN(Setup!C19,COUNT($C$4:$AG$4)))</f>
        <v/>
      </c>
      <c r="AJ18" s="29">
        <f>IF(B18="","",AH18/COUNT($C$4:$AG$4))</f>
        <v/>
      </c>
      <c r="AK18" s="29">
        <f>IF(OR(B18="",N(AI18)=0),"",MIN(1,AH18/AI18))</f>
        <v/>
      </c>
    </row>
    <row r="19" ht="20" customHeight="1">
      <c r="B19" s="18">
        <f>IF(Setup!B20="","",Setup!B20)</f>
        <v/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8">
        <f>IF(B19="","",COUNTIF(C19:AG19,"✓")+COUNTIF(C19:AG19,"x"))</f>
        <v/>
      </c>
      <c r="AI19" s="28">
        <f>IF(OR(B19="",Setup!C20=""),"",MIN(Setup!C20,COUNT($C$4:$AG$4)))</f>
        <v/>
      </c>
      <c r="AJ19" s="29">
        <f>IF(B19="","",AH19/COUNT($C$4:$AG$4))</f>
        <v/>
      </c>
      <c r="AK19" s="29">
        <f>IF(OR(B19="",N(AI19)=0),"",MIN(1,AH19/AI19))</f>
        <v/>
      </c>
    </row>
    <row r="20" ht="20" customHeight="1">
      <c r="B20" s="18">
        <f>IF(Setup!B21="","",Setup!B21)</f>
        <v/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8">
        <f>IF(B20="","",COUNTIF(C20:AG20,"✓")+COUNTIF(C20:AG20,"x"))</f>
        <v/>
      </c>
      <c r="AI20" s="28">
        <f>IF(OR(B20="",Setup!C21=""),"",MIN(Setup!C21,COUNT($C$4:$AG$4)))</f>
        <v/>
      </c>
      <c r="AJ20" s="29">
        <f>IF(B20="","",AH20/COUNT($C$4:$AG$4))</f>
        <v/>
      </c>
      <c r="AK20" s="29">
        <f>IF(OR(B20="",N(AI20)=0),"",MIN(1,AH20/AI20))</f>
        <v/>
      </c>
    </row>
    <row r="21">
      <c r="B21" s="30" t="inlineStr">
        <is>
          <t>Day complete</t>
        </is>
      </c>
      <c r="C21" s="31">
        <f>IF(OR(C4="",COUNTIF($B$6:$B$20,"?*")=0),"",(COUNTIF(C6:C20,"✓")+COUNTIF(C6:C20,"x"))/COUNTIF($B$6:$B$20,"?*"))</f>
        <v/>
      </c>
      <c r="D21" s="31">
        <f>IF(OR(D4="",COUNTIF($B$6:$B$20,"?*")=0),"",(COUNTIF(D6:D20,"✓")+COUNTIF(D6:D20,"x"))/COUNTIF($B$6:$B$20,"?*"))</f>
        <v/>
      </c>
      <c r="E21" s="31">
        <f>IF(OR(E4="",COUNTIF($B$6:$B$20,"?*")=0),"",(COUNTIF(E6:E20,"✓")+COUNTIF(E6:E20,"x"))/COUNTIF($B$6:$B$20,"?*"))</f>
        <v/>
      </c>
      <c r="F21" s="31">
        <f>IF(OR(F4="",COUNTIF($B$6:$B$20,"?*")=0),"",(COUNTIF(F6:F20,"✓")+COUNTIF(F6:F20,"x"))/COUNTIF($B$6:$B$20,"?*"))</f>
        <v/>
      </c>
      <c r="G21" s="31">
        <f>IF(OR(G4="",COUNTIF($B$6:$B$20,"?*")=0),"",(COUNTIF(G6:G20,"✓")+COUNTIF(G6:G20,"x"))/COUNTIF($B$6:$B$20,"?*"))</f>
        <v/>
      </c>
      <c r="H21" s="31">
        <f>IF(OR(H4="",COUNTIF($B$6:$B$20,"?*")=0),"",(COUNTIF(H6:H20,"✓")+COUNTIF(H6:H20,"x"))/COUNTIF($B$6:$B$20,"?*"))</f>
        <v/>
      </c>
      <c r="I21" s="31">
        <f>IF(OR(I4="",COUNTIF($B$6:$B$20,"?*")=0),"",(COUNTIF(I6:I20,"✓")+COUNTIF(I6:I20,"x"))/COUNTIF($B$6:$B$20,"?*"))</f>
        <v/>
      </c>
      <c r="J21" s="31">
        <f>IF(OR(J4="",COUNTIF($B$6:$B$20,"?*")=0),"",(COUNTIF(J6:J20,"✓")+COUNTIF(J6:J20,"x"))/COUNTIF($B$6:$B$20,"?*"))</f>
        <v/>
      </c>
      <c r="K21" s="31">
        <f>IF(OR(K4="",COUNTIF($B$6:$B$20,"?*")=0),"",(COUNTIF(K6:K20,"✓")+COUNTIF(K6:K20,"x"))/COUNTIF($B$6:$B$20,"?*"))</f>
        <v/>
      </c>
      <c r="L21" s="31">
        <f>IF(OR(L4="",COUNTIF($B$6:$B$20,"?*")=0),"",(COUNTIF(L6:L20,"✓")+COUNTIF(L6:L20,"x"))/COUNTIF($B$6:$B$20,"?*"))</f>
        <v/>
      </c>
      <c r="M21" s="31">
        <f>IF(OR(M4="",COUNTIF($B$6:$B$20,"?*")=0),"",(COUNTIF(M6:M20,"✓")+COUNTIF(M6:M20,"x"))/COUNTIF($B$6:$B$20,"?*"))</f>
        <v/>
      </c>
      <c r="N21" s="31">
        <f>IF(OR(N4="",COUNTIF($B$6:$B$20,"?*")=0),"",(COUNTIF(N6:N20,"✓")+COUNTIF(N6:N20,"x"))/COUNTIF($B$6:$B$20,"?*"))</f>
        <v/>
      </c>
      <c r="O21" s="31">
        <f>IF(OR(O4="",COUNTIF($B$6:$B$20,"?*")=0),"",(COUNTIF(O6:O20,"✓")+COUNTIF(O6:O20,"x"))/COUNTIF($B$6:$B$20,"?*"))</f>
        <v/>
      </c>
      <c r="P21" s="31">
        <f>IF(OR(P4="",COUNTIF($B$6:$B$20,"?*")=0),"",(COUNTIF(P6:P20,"✓")+COUNTIF(P6:P20,"x"))/COUNTIF($B$6:$B$20,"?*"))</f>
        <v/>
      </c>
      <c r="Q21" s="31">
        <f>IF(OR(Q4="",COUNTIF($B$6:$B$20,"?*")=0),"",(COUNTIF(Q6:Q20,"✓")+COUNTIF(Q6:Q20,"x"))/COUNTIF($B$6:$B$20,"?*"))</f>
        <v/>
      </c>
      <c r="R21" s="31">
        <f>IF(OR(R4="",COUNTIF($B$6:$B$20,"?*")=0),"",(COUNTIF(R6:R20,"✓")+COUNTIF(R6:R20,"x"))/COUNTIF($B$6:$B$20,"?*"))</f>
        <v/>
      </c>
      <c r="S21" s="31">
        <f>IF(OR(S4="",COUNTIF($B$6:$B$20,"?*")=0),"",(COUNTIF(S6:S20,"✓")+COUNTIF(S6:S20,"x"))/COUNTIF($B$6:$B$20,"?*"))</f>
        <v/>
      </c>
      <c r="T21" s="31">
        <f>IF(OR(T4="",COUNTIF($B$6:$B$20,"?*")=0),"",(COUNTIF(T6:T20,"✓")+COUNTIF(T6:T20,"x"))/COUNTIF($B$6:$B$20,"?*"))</f>
        <v/>
      </c>
      <c r="U21" s="31">
        <f>IF(OR(U4="",COUNTIF($B$6:$B$20,"?*")=0),"",(COUNTIF(U6:U20,"✓")+COUNTIF(U6:U20,"x"))/COUNTIF($B$6:$B$20,"?*"))</f>
        <v/>
      </c>
      <c r="V21" s="31">
        <f>IF(OR(V4="",COUNTIF($B$6:$B$20,"?*")=0),"",(COUNTIF(V6:V20,"✓")+COUNTIF(V6:V20,"x"))/COUNTIF($B$6:$B$20,"?*"))</f>
        <v/>
      </c>
      <c r="W21" s="31">
        <f>IF(OR(W4="",COUNTIF($B$6:$B$20,"?*")=0),"",(COUNTIF(W6:W20,"✓")+COUNTIF(W6:W20,"x"))/COUNTIF($B$6:$B$20,"?*"))</f>
        <v/>
      </c>
      <c r="X21" s="31">
        <f>IF(OR(X4="",COUNTIF($B$6:$B$20,"?*")=0),"",(COUNTIF(X6:X20,"✓")+COUNTIF(X6:X20,"x"))/COUNTIF($B$6:$B$20,"?*"))</f>
        <v/>
      </c>
      <c r="Y21" s="31">
        <f>IF(OR(Y4="",COUNTIF($B$6:$B$20,"?*")=0),"",(COUNTIF(Y6:Y20,"✓")+COUNTIF(Y6:Y20,"x"))/COUNTIF($B$6:$B$20,"?*"))</f>
        <v/>
      </c>
      <c r="Z21" s="31">
        <f>IF(OR(Z4="",COUNTIF($B$6:$B$20,"?*")=0),"",(COUNTIF(Z6:Z20,"✓")+COUNTIF(Z6:Z20,"x"))/COUNTIF($B$6:$B$20,"?*"))</f>
        <v/>
      </c>
      <c r="AA21" s="31">
        <f>IF(OR(AA4="",COUNTIF($B$6:$B$20,"?*")=0),"",(COUNTIF(AA6:AA20,"✓")+COUNTIF(AA6:AA20,"x"))/COUNTIF($B$6:$B$20,"?*"))</f>
        <v/>
      </c>
      <c r="AB21" s="31">
        <f>IF(OR(AB4="",COUNTIF($B$6:$B$20,"?*")=0),"",(COUNTIF(AB6:AB20,"✓")+COUNTIF(AB6:AB20,"x"))/COUNTIF($B$6:$B$20,"?*"))</f>
        <v/>
      </c>
      <c r="AC21" s="31">
        <f>IF(OR(AC4="",COUNTIF($B$6:$B$20,"?*")=0),"",(COUNTIF(AC6:AC20,"✓")+COUNTIF(AC6:AC20,"x"))/COUNTIF($B$6:$B$20,"?*"))</f>
        <v/>
      </c>
      <c r="AD21" s="31">
        <f>IF(OR(AD4="",COUNTIF($B$6:$B$20,"?*")=0),"",(COUNTIF(AD6:AD20,"✓")+COUNTIF(AD6:AD20,"x"))/COUNTIF($B$6:$B$20,"?*"))</f>
        <v/>
      </c>
      <c r="AE21" s="31">
        <f>IF(OR(AE4="",COUNTIF($B$6:$B$20,"?*")=0),"",(COUNTIF(AE6:AE20,"✓")+COUNTIF(AE6:AE20,"x"))/COUNTIF($B$6:$B$20,"?*"))</f>
        <v/>
      </c>
      <c r="AF21" s="31">
        <f>IF(OR(AF4="",COUNTIF($B$6:$B$20,"?*")=0),"",(COUNTIF(AF6:AF20,"✓")+COUNTIF(AF6:AF20,"x"))/COUNTIF($B$6:$B$20,"?*"))</f>
        <v/>
      </c>
      <c r="AG21" s="31">
        <f>IF(OR(AG4="",COUNTIF($B$6:$B$20,"?*")=0),"",(COUNTIF(AG6:AG20,"✓")+COUNTIF(AG6:AG20,"x"))/COUNTIF($B$6:$B$20,"?*"))</f>
        <v/>
      </c>
      <c r="AJ21" s="32">
        <f>IFERROR(AVERAGE(AJ6:AJ20),"")</f>
        <v/>
      </c>
    </row>
  </sheetData>
  <conditionalFormatting sqref="C6:AG20">
    <cfRule type="expression" priority="1" dxfId="0">
      <formula>C$4=""</formula>
    </cfRule>
    <cfRule type="expression" priority="2" dxfId="1">
      <formula>OR(C6="✓",C6="x")</formula>
    </cfRule>
  </conditionalFormatting>
  <conditionalFormatting sqref="C4:AG5">
    <cfRule type="expression" priority="3" dxfId="1">
      <formula>C$4=TODAY()</formula>
    </cfRule>
  </conditionalFormatting>
  <conditionalFormatting sqref="C21:AG21">
    <cfRule type="colorScale" priority="4">
      <colorScale>
        <cfvo type="num" val="0"/>
        <cfvo type="num" val="1"/>
        <color rgb="00FFFFFF"/>
        <color rgb="0034D399"/>
      </colorScale>
    </cfRule>
  </conditionalFormatting>
  <conditionalFormatting sqref="AK6:AK20">
    <cfRule type="dataBar" priority="5">
      <dataBar>
        <cfvo type="num" val="0"/>
        <cfvo type="num" val="1"/>
        <color rgb="0034D399"/>
      </dataBar>
    </cfRule>
  </conditionalFormatting>
  <dataValidations count="1">
    <dataValidation sqref="C6:AG20" showDropDown="0" showInputMessage="0" showErrorMessage="0" allowBlank="1" error="Use ✓ or x to mark a habit as done." type="list">
      <formula1>"✓,x"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34D399"/>
    <outlinePr summaryBelow="1" summaryRight="1"/>
    <pageSetUpPr fitToPage="1"/>
  </sheetPr>
  <dimension ref="A1:AK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8" customWidth="1" min="34" max="34"/>
    <col width="8" customWidth="1" min="35" max="35"/>
    <col width="10" customWidth="1" min="36" max="36"/>
    <col width="10" customWidth="1" min="37" max="37"/>
  </cols>
  <sheetData>
    <row r="1" ht="30" customHeight="1">
      <c r="A1" s="1">
        <f>TEXT(DATE(Setup!$C$4,7,1),"mmmm yyyy")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20" customHeight="1">
      <c r="A2" s="3" t="inlineStr">
        <is>
          <t>Mark ✓ when done  ·  علّم ✓ عند الإنجاز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4">
      <c r="B4" s="21" t="inlineStr">
        <is>
          <t>Habit</t>
        </is>
      </c>
      <c r="C4" s="22">
        <f>IF(MONTH(DATE(Setup!$C$4,7,1))=7,DATE(Setup!$C$4,7,1),"")</f>
        <v/>
      </c>
      <c r="D4" s="22">
        <f>IF(MONTH(DATE(Setup!$C$4,7,2))=7,DATE(Setup!$C$4,7,2),"")</f>
        <v/>
      </c>
      <c r="E4" s="22">
        <f>IF(MONTH(DATE(Setup!$C$4,7,3))=7,DATE(Setup!$C$4,7,3),"")</f>
        <v/>
      </c>
      <c r="F4" s="22">
        <f>IF(MONTH(DATE(Setup!$C$4,7,4))=7,DATE(Setup!$C$4,7,4),"")</f>
        <v/>
      </c>
      <c r="G4" s="22">
        <f>IF(MONTH(DATE(Setup!$C$4,7,5))=7,DATE(Setup!$C$4,7,5),"")</f>
        <v/>
      </c>
      <c r="H4" s="22">
        <f>IF(MONTH(DATE(Setup!$C$4,7,6))=7,DATE(Setup!$C$4,7,6),"")</f>
        <v/>
      </c>
      <c r="I4" s="22">
        <f>IF(MONTH(DATE(Setup!$C$4,7,7))=7,DATE(Setup!$C$4,7,7),"")</f>
        <v/>
      </c>
      <c r="J4" s="22">
        <f>IF(MONTH(DATE(Setup!$C$4,7,8))=7,DATE(Setup!$C$4,7,8),"")</f>
        <v/>
      </c>
      <c r="K4" s="22">
        <f>IF(MONTH(DATE(Setup!$C$4,7,9))=7,DATE(Setup!$C$4,7,9),"")</f>
        <v/>
      </c>
      <c r="L4" s="22">
        <f>IF(MONTH(DATE(Setup!$C$4,7,10))=7,DATE(Setup!$C$4,7,10),"")</f>
        <v/>
      </c>
      <c r="M4" s="22">
        <f>IF(MONTH(DATE(Setup!$C$4,7,11))=7,DATE(Setup!$C$4,7,11),"")</f>
        <v/>
      </c>
      <c r="N4" s="22">
        <f>IF(MONTH(DATE(Setup!$C$4,7,12))=7,DATE(Setup!$C$4,7,12),"")</f>
        <v/>
      </c>
      <c r="O4" s="22">
        <f>IF(MONTH(DATE(Setup!$C$4,7,13))=7,DATE(Setup!$C$4,7,13),"")</f>
        <v/>
      </c>
      <c r="P4" s="22">
        <f>IF(MONTH(DATE(Setup!$C$4,7,14))=7,DATE(Setup!$C$4,7,14),"")</f>
        <v/>
      </c>
      <c r="Q4" s="22">
        <f>IF(MONTH(DATE(Setup!$C$4,7,15))=7,DATE(Setup!$C$4,7,15),"")</f>
        <v/>
      </c>
      <c r="R4" s="22">
        <f>IF(MONTH(DATE(Setup!$C$4,7,16))=7,DATE(Setup!$C$4,7,16),"")</f>
        <v/>
      </c>
      <c r="S4" s="22">
        <f>IF(MONTH(DATE(Setup!$C$4,7,17))=7,DATE(Setup!$C$4,7,17),"")</f>
        <v/>
      </c>
      <c r="T4" s="22">
        <f>IF(MONTH(DATE(Setup!$C$4,7,18))=7,DATE(Setup!$C$4,7,18),"")</f>
        <v/>
      </c>
      <c r="U4" s="22">
        <f>IF(MONTH(DATE(Setup!$C$4,7,19))=7,DATE(Setup!$C$4,7,19),"")</f>
        <v/>
      </c>
      <c r="V4" s="22">
        <f>IF(MONTH(DATE(Setup!$C$4,7,20))=7,DATE(Setup!$C$4,7,20),"")</f>
        <v/>
      </c>
      <c r="W4" s="22">
        <f>IF(MONTH(DATE(Setup!$C$4,7,21))=7,DATE(Setup!$C$4,7,21),"")</f>
        <v/>
      </c>
      <c r="X4" s="22">
        <f>IF(MONTH(DATE(Setup!$C$4,7,22))=7,DATE(Setup!$C$4,7,22),"")</f>
        <v/>
      </c>
      <c r="Y4" s="22">
        <f>IF(MONTH(DATE(Setup!$C$4,7,23))=7,DATE(Setup!$C$4,7,23),"")</f>
        <v/>
      </c>
      <c r="Z4" s="22">
        <f>IF(MONTH(DATE(Setup!$C$4,7,24))=7,DATE(Setup!$C$4,7,24),"")</f>
        <v/>
      </c>
      <c r="AA4" s="22">
        <f>IF(MONTH(DATE(Setup!$C$4,7,25))=7,DATE(Setup!$C$4,7,25),"")</f>
        <v/>
      </c>
      <c r="AB4" s="22">
        <f>IF(MONTH(DATE(Setup!$C$4,7,26))=7,DATE(Setup!$C$4,7,26),"")</f>
        <v/>
      </c>
      <c r="AC4" s="22">
        <f>IF(MONTH(DATE(Setup!$C$4,7,27))=7,DATE(Setup!$C$4,7,27),"")</f>
        <v/>
      </c>
      <c r="AD4" s="22">
        <f>IF(MONTH(DATE(Setup!$C$4,7,28))=7,DATE(Setup!$C$4,7,28),"")</f>
        <v/>
      </c>
      <c r="AE4" s="22">
        <f>IF(MONTH(DATE(Setup!$C$4,7,29))=7,DATE(Setup!$C$4,7,29),"")</f>
        <v/>
      </c>
      <c r="AF4" s="22">
        <f>IF(MONTH(DATE(Setup!$C$4,7,30))=7,DATE(Setup!$C$4,7,30),"")</f>
        <v/>
      </c>
      <c r="AG4" s="22">
        <f>IF(MONTH(DATE(Setup!$C$4,7,31))=7,DATE(Setup!$C$4,7,31),"")</f>
        <v/>
      </c>
      <c r="AH4" s="23" t="inlineStr">
        <is>
          <t>Done</t>
        </is>
      </c>
      <c r="AI4" s="23" t="inlineStr">
        <is>
          <t>Goal</t>
        </is>
      </c>
      <c r="AJ4" s="23" t="inlineStr">
        <is>
          <t>Rate</t>
        </is>
      </c>
      <c r="AK4" s="23" t="inlineStr">
        <is>
          <t>vs goal</t>
        </is>
      </c>
    </row>
    <row r="5">
      <c r="B5" s="24" t="n"/>
      <c r="C5" s="25">
        <f>IF(C4="","",MID("SMTWTFS",WEEKDAY(C4),1))</f>
        <v/>
      </c>
      <c r="D5" s="25">
        <f>IF(D4="","",MID("SMTWTFS",WEEKDAY(D4),1))</f>
        <v/>
      </c>
      <c r="E5" s="25">
        <f>IF(E4="","",MID("SMTWTFS",WEEKDAY(E4),1))</f>
        <v/>
      </c>
      <c r="F5" s="25">
        <f>IF(F4="","",MID("SMTWTFS",WEEKDAY(F4),1))</f>
        <v/>
      </c>
      <c r="G5" s="25">
        <f>IF(G4="","",MID("SMTWTFS",WEEKDAY(G4),1))</f>
        <v/>
      </c>
      <c r="H5" s="25">
        <f>IF(H4="","",MID("SMTWTFS",WEEKDAY(H4),1))</f>
        <v/>
      </c>
      <c r="I5" s="25">
        <f>IF(I4="","",MID("SMTWTFS",WEEKDAY(I4),1))</f>
        <v/>
      </c>
      <c r="J5" s="25">
        <f>IF(J4="","",MID("SMTWTFS",WEEKDAY(J4),1))</f>
        <v/>
      </c>
      <c r="K5" s="25">
        <f>IF(K4="","",MID("SMTWTFS",WEEKDAY(K4),1))</f>
        <v/>
      </c>
      <c r="L5" s="25">
        <f>IF(L4="","",MID("SMTWTFS",WEEKDAY(L4),1))</f>
        <v/>
      </c>
      <c r="M5" s="25">
        <f>IF(M4="","",MID("SMTWTFS",WEEKDAY(M4),1))</f>
        <v/>
      </c>
      <c r="N5" s="25">
        <f>IF(N4="","",MID("SMTWTFS",WEEKDAY(N4),1))</f>
        <v/>
      </c>
      <c r="O5" s="25">
        <f>IF(O4="","",MID("SMTWTFS",WEEKDAY(O4),1))</f>
        <v/>
      </c>
      <c r="P5" s="25">
        <f>IF(P4="","",MID("SMTWTFS",WEEKDAY(P4),1))</f>
        <v/>
      </c>
      <c r="Q5" s="25">
        <f>IF(Q4="","",MID("SMTWTFS",WEEKDAY(Q4),1))</f>
        <v/>
      </c>
      <c r="R5" s="25">
        <f>IF(R4="","",MID("SMTWTFS",WEEKDAY(R4),1))</f>
        <v/>
      </c>
      <c r="S5" s="25">
        <f>IF(S4="","",MID("SMTWTFS",WEEKDAY(S4),1))</f>
        <v/>
      </c>
      <c r="T5" s="25">
        <f>IF(T4="","",MID("SMTWTFS",WEEKDAY(T4),1))</f>
        <v/>
      </c>
      <c r="U5" s="25">
        <f>IF(U4="","",MID("SMTWTFS",WEEKDAY(U4),1))</f>
        <v/>
      </c>
      <c r="V5" s="25">
        <f>IF(V4="","",MID("SMTWTFS",WEEKDAY(V4),1))</f>
        <v/>
      </c>
      <c r="W5" s="25">
        <f>IF(W4="","",MID("SMTWTFS",WEEKDAY(W4),1))</f>
        <v/>
      </c>
      <c r="X5" s="25">
        <f>IF(X4="","",MID("SMTWTFS",WEEKDAY(X4),1))</f>
        <v/>
      </c>
      <c r="Y5" s="25">
        <f>IF(Y4="","",MID("SMTWTFS",WEEKDAY(Y4),1))</f>
        <v/>
      </c>
      <c r="Z5" s="25">
        <f>IF(Z4="","",MID("SMTWTFS",WEEKDAY(Z4),1))</f>
        <v/>
      </c>
      <c r="AA5" s="25">
        <f>IF(AA4="","",MID("SMTWTFS",WEEKDAY(AA4),1))</f>
        <v/>
      </c>
      <c r="AB5" s="25">
        <f>IF(AB4="","",MID("SMTWTFS",WEEKDAY(AB4),1))</f>
        <v/>
      </c>
      <c r="AC5" s="25">
        <f>IF(AC4="","",MID("SMTWTFS",WEEKDAY(AC4),1))</f>
        <v/>
      </c>
      <c r="AD5" s="25">
        <f>IF(AD4="","",MID("SMTWTFS",WEEKDAY(AD4),1))</f>
        <v/>
      </c>
      <c r="AE5" s="25">
        <f>IF(AE4="","",MID("SMTWTFS",WEEKDAY(AE4),1))</f>
        <v/>
      </c>
      <c r="AF5" s="25">
        <f>IF(AF4="","",MID("SMTWTFS",WEEKDAY(AF4),1))</f>
        <v/>
      </c>
      <c r="AG5" s="25">
        <f>IF(AG4="","",MID("SMTWTFS",WEEKDAY(AG4),1))</f>
        <v/>
      </c>
      <c r="AH5" s="26" t="n"/>
      <c r="AI5" s="26" t="n"/>
      <c r="AJ5" s="26" t="n"/>
      <c r="AK5" s="26" t="n"/>
    </row>
    <row r="6" ht="20" customHeight="1">
      <c r="B6" s="18">
        <f>IF(Setup!B7="","",Setup!B7)</f>
        <v/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8">
        <f>IF(B6="","",COUNTIF(C6:AG6,"✓")+COUNTIF(C6:AG6,"x"))</f>
        <v/>
      </c>
      <c r="AI6" s="28">
        <f>IF(OR(B6="",Setup!C7=""),"",MIN(Setup!C7,COUNT($C$4:$AG$4)))</f>
        <v/>
      </c>
      <c r="AJ6" s="29">
        <f>IF(B6="","",AH6/COUNT($C$4:$AG$4))</f>
        <v/>
      </c>
      <c r="AK6" s="29">
        <f>IF(OR(B6="",N(AI6)=0),"",MIN(1,AH6/AI6))</f>
        <v/>
      </c>
    </row>
    <row r="7" ht="20" customHeight="1">
      <c r="B7" s="18">
        <f>IF(Setup!B8="","",Setup!B8)</f>
        <v/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8">
        <f>IF(B7="","",COUNTIF(C7:AG7,"✓")+COUNTIF(C7:AG7,"x"))</f>
        <v/>
      </c>
      <c r="AI7" s="28">
        <f>IF(OR(B7="",Setup!C8=""),"",MIN(Setup!C8,COUNT($C$4:$AG$4)))</f>
        <v/>
      </c>
      <c r="AJ7" s="29">
        <f>IF(B7="","",AH7/COUNT($C$4:$AG$4))</f>
        <v/>
      </c>
      <c r="AK7" s="29">
        <f>IF(OR(B7="",N(AI7)=0),"",MIN(1,AH7/AI7))</f>
        <v/>
      </c>
    </row>
    <row r="8" ht="20" customHeight="1">
      <c r="B8" s="18">
        <f>IF(Setup!B9="","",Setup!B9)</f>
        <v/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8">
        <f>IF(B8="","",COUNTIF(C8:AG8,"✓")+COUNTIF(C8:AG8,"x"))</f>
        <v/>
      </c>
      <c r="AI8" s="28">
        <f>IF(OR(B8="",Setup!C9=""),"",MIN(Setup!C9,COUNT($C$4:$AG$4)))</f>
        <v/>
      </c>
      <c r="AJ8" s="29">
        <f>IF(B8="","",AH8/COUNT($C$4:$AG$4))</f>
        <v/>
      </c>
      <c r="AK8" s="29">
        <f>IF(OR(B8="",N(AI8)=0),"",MIN(1,AH8/AI8))</f>
        <v/>
      </c>
    </row>
    <row r="9" ht="20" customHeight="1">
      <c r="B9" s="18">
        <f>IF(Setup!B10="","",Setup!B10)</f>
        <v/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8">
        <f>IF(B9="","",COUNTIF(C9:AG9,"✓")+COUNTIF(C9:AG9,"x"))</f>
        <v/>
      </c>
      <c r="AI9" s="28">
        <f>IF(OR(B9="",Setup!C10=""),"",MIN(Setup!C10,COUNT($C$4:$AG$4)))</f>
        <v/>
      </c>
      <c r="AJ9" s="29">
        <f>IF(B9="","",AH9/COUNT($C$4:$AG$4))</f>
        <v/>
      </c>
      <c r="AK9" s="29">
        <f>IF(OR(B9="",N(AI9)=0),"",MIN(1,AH9/AI9))</f>
        <v/>
      </c>
    </row>
    <row r="10" ht="20" customHeight="1">
      <c r="B10" s="18">
        <f>IF(Setup!B11="","",Setup!B11)</f>
        <v/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8">
        <f>IF(B10="","",COUNTIF(C10:AG10,"✓")+COUNTIF(C10:AG10,"x"))</f>
        <v/>
      </c>
      <c r="AI10" s="28">
        <f>IF(OR(B10="",Setup!C11=""),"",MIN(Setup!C11,COUNT($C$4:$AG$4)))</f>
        <v/>
      </c>
      <c r="AJ10" s="29">
        <f>IF(B10="","",AH10/COUNT($C$4:$AG$4))</f>
        <v/>
      </c>
      <c r="AK10" s="29">
        <f>IF(OR(B10="",N(AI10)=0),"",MIN(1,AH10/AI10))</f>
        <v/>
      </c>
    </row>
    <row r="11" ht="20" customHeight="1">
      <c r="B11" s="18">
        <f>IF(Setup!B12="","",Setup!B12)</f>
        <v/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8">
        <f>IF(B11="","",COUNTIF(C11:AG11,"✓")+COUNTIF(C11:AG11,"x"))</f>
        <v/>
      </c>
      <c r="AI11" s="28">
        <f>IF(OR(B11="",Setup!C12=""),"",MIN(Setup!C12,COUNT($C$4:$AG$4)))</f>
        <v/>
      </c>
      <c r="AJ11" s="29">
        <f>IF(B11="","",AH11/COUNT($C$4:$AG$4))</f>
        <v/>
      </c>
      <c r="AK11" s="29">
        <f>IF(OR(B11="",N(AI11)=0),"",MIN(1,AH11/AI11))</f>
        <v/>
      </c>
    </row>
    <row r="12" ht="20" customHeight="1">
      <c r="B12" s="18">
        <f>IF(Setup!B13="","",Setup!B13)</f>
        <v/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8">
        <f>IF(B12="","",COUNTIF(C12:AG12,"✓")+COUNTIF(C12:AG12,"x"))</f>
        <v/>
      </c>
      <c r="AI12" s="28">
        <f>IF(OR(B12="",Setup!C13=""),"",MIN(Setup!C13,COUNT($C$4:$AG$4)))</f>
        <v/>
      </c>
      <c r="AJ12" s="29">
        <f>IF(B12="","",AH12/COUNT($C$4:$AG$4))</f>
        <v/>
      </c>
      <c r="AK12" s="29">
        <f>IF(OR(B12="",N(AI12)=0),"",MIN(1,AH12/AI12))</f>
        <v/>
      </c>
    </row>
    <row r="13" ht="20" customHeight="1">
      <c r="B13" s="18">
        <f>IF(Setup!B14="","",Setup!B14)</f>
        <v/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8">
        <f>IF(B13="","",COUNTIF(C13:AG13,"✓")+COUNTIF(C13:AG13,"x"))</f>
        <v/>
      </c>
      <c r="AI13" s="28">
        <f>IF(OR(B13="",Setup!C14=""),"",MIN(Setup!C14,COUNT($C$4:$AG$4)))</f>
        <v/>
      </c>
      <c r="AJ13" s="29">
        <f>IF(B13="","",AH13/COUNT($C$4:$AG$4))</f>
        <v/>
      </c>
      <c r="AK13" s="29">
        <f>IF(OR(B13="",N(AI13)=0),"",MIN(1,AH13/AI13))</f>
        <v/>
      </c>
    </row>
    <row r="14" ht="20" customHeight="1">
      <c r="B14" s="18">
        <f>IF(Setup!B15="","",Setup!B15)</f>
        <v/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8">
        <f>IF(B14="","",COUNTIF(C14:AG14,"✓")+COUNTIF(C14:AG14,"x"))</f>
        <v/>
      </c>
      <c r="AI14" s="28">
        <f>IF(OR(B14="",Setup!C15=""),"",MIN(Setup!C15,COUNT($C$4:$AG$4)))</f>
        <v/>
      </c>
      <c r="AJ14" s="29">
        <f>IF(B14="","",AH14/COUNT($C$4:$AG$4))</f>
        <v/>
      </c>
      <c r="AK14" s="29">
        <f>IF(OR(B14="",N(AI14)=0),"",MIN(1,AH14/AI14))</f>
        <v/>
      </c>
    </row>
    <row r="15" ht="20" customHeight="1">
      <c r="B15" s="18">
        <f>IF(Setup!B16="","",Setup!B16)</f>
        <v/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8">
        <f>IF(B15="","",COUNTIF(C15:AG15,"✓")+COUNTIF(C15:AG15,"x"))</f>
        <v/>
      </c>
      <c r="AI15" s="28">
        <f>IF(OR(B15="",Setup!C16=""),"",MIN(Setup!C16,COUNT($C$4:$AG$4)))</f>
        <v/>
      </c>
      <c r="AJ15" s="29">
        <f>IF(B15="","",AH15/COUNT($C$4:$AG$4))</f>
        <v/>
      </c>
      <c r="AK15" s="29">
        <f>IF(OR(B15="",N(AI15)=0),"",MIN(1,AH15/AI15))</f>
        <v/>
      </c>
    </row>
    <row r="16" ht="20" customHeight="1">
      <c r="B16" s="18">
        <f>IF(Setup!B17="","",Setup!B17)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8">
        <f>IF(B16="","",COUNTIF(C16:AG16,"✓")+COUNTIF(C16:AG16,"x"))</f>
        <v/>
      </c>
      <c r="AI16" s="28">
        <f>IF(OR(B16="",Setup!C17=""),"",MIN(Setup!C17,COUNT($C$4:$AG$4)))</f>
        <v/>
      </c>
      <c r="AJ16" s="29">
        <f>IF(B16="","",AH16/COUNT($C$4:$AG$4))</f>
        <v/>
      </c>
      <c r="AK16" s="29">
        <f>IF(OR(B16="",N(AI16)=0),"",MIN(1,AH16/AI16))</f>
        <v/>
      </c>
    </row>
    <row r="17" ht="20" customHeight="1">
      <c r="B17" s="18">
        <f>IF(Setup!B18="","",Setup!B18)</f>
        <v/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8">
        <f>IF(B17="","",COUNTIF(C17:AG17,"✓")+COUNTIF(C17:AG17,"x"))</f>
        <v/>
      </c>
      <c r="AI17" s="28">
        <f>IF(OR(B17="",Setup!C18=""),"",MIN(Setup!C18,COUNT($C$4:$AG$4)))</f>
        <v/>
      </c>
      <c r="AJ17" s="29">
        <f>IF(B17="","",AH17/COUNT($C$4:$AG$4))</f>
        <v/>
      </c>
      <c r="AK17" s="29">
        <f>IF(OR(B17="",N(AI17)=0),"",MIN(1,AH17/AI17))</f>
        <v/>
      </c>
    </row>
    <row r="18" ht="20" customHeight="1">
      <c r="B18" s="18">
        <f>IF(Setup!B19="","",Setup!B19)</f>
        <v/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8">
        <f>IF(B18="","",COUNTIF(C18:AG18,"✓")+COUNTIF(C18:AG18,"x"))</f>
        <v/>
      </c>
      <c r="AI18" s="28">
        <f>IF(OR(B18="",Setup!C19=""),"",MIN(Setup!C19,COUNT($C$4:$AG$4)))</f>
        <v/>
      </c>
      <c r="AJ18" s="29">
        <f>IF(B18="","",AH18/COUNT($C$4:$AG$4))</f>
        <v/>
      </c>
      <c r="AK18" s="29">
        <f>IF(OR(B18="",N(AI18)=0),"",MIN(1,AH18/AI18))</f>
        <v/>
      </c>
    </row>
    <row r="19" ht="20" customHeight="1">
      <c r="B19" s="18">
        <f>IF(Setup!B20="","",Setup!B20)</f>
        <v/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8">
        <f>IF(B19="","",COUNTIF(C19:AG19,"✓")+COUNTIF(C19:AG19,"x"))</f>
        <v/>
      </c>
      <c r="AI19" s="28">
        <f>IF(OR(B19="",Setup!C20=""),"",MIN(Setup!C20,COUNT($C$4:$AG$4)))</f>
        <v/>
      </c>
      <c r="AJ19" s="29">
        <f>IF(B19="","",AH19/COUNT($C$4:$AG$4))</f>
        <v/>
      </c>
      <c r="AK19" s="29">
        <f>IF(OR(B19="",N(AI19)=0),"",MIN(1,AH19/AI19))</f>
        <v/>
      </c>
    </row>
    <row r="20" ht="20" customHeight="1">
      <c r="B20" s="18">
        <f>IF(Setup!B21="","",Setup!B21)</f>
        <v/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8">
        <f>IF(B20="","",COUNTIF(C20:AG20,"✓")+COUNTIF(C20:AG20,"x"))</f>
        <v/>
      </c>
      <c r="AI20" s="28">
        <f>IF(OR(B20="",Setup!C21=""),"",MIN(Setup!C21,COUNT($C$4:$AG$4)))</f>
        <v/>
      </c>
      <c r="AJ20" s="29">
        <f>IF(B20="","",AH20/COUNT($C$4:$AG$4))</f>
        <v/>
      </c>
      <c r="AK20" s="29">
        <f>IF(OR(B20="",N(AI20)=0),"",MIN(1,AH20/AI20))</f>
        <v/>
      </c>
    </row>
    <row r="21">
      <c r="B21" s="30" t="inlineStr">
        <is>
          <t>Day complete</t>
        </is>
      </c>
      <c r="C21" s="31">
        <f>IF(OR(C4="",COUNTIF($B$6:$B$20,"?*")=0),"",(COUNTIF(C6:C20,"✓")+COUNTIF(C6:C20,"x"))/COUNTIF($B$6:$B$20,"?*"))</f>
        <v/>
      </c>
      <c r="D21" s="31">
        <f>IF(OR(D4="",COUNTIF($B$6:$B$20,"?*")=0),"",(COUNTIF(D6:D20,"✓")+COUNTIF(D6:D20,"x"))/COUNTIF($B$6:$B$20,"?*"))</f>
        <v/>
      </c>
      <c r="E21" s="31">
        <f>IF(OR(E4="",COUNTIF($B$6:$B$20,"?*")=0),"",(COUNTIF(E6:E20,"✓")+COUNTIF(E6:E20,"x"))/COUNTIF($B$6:$B$20,"?*"))</f>
        <v/>
      </c>
      <c r="F21" s="31">
        <f>IF(OR(F4="",COUNTIF($B$6:$B$20,"?*")=0),"",(COUNTIF(F6:F20,"✓")+COUNTIF(F6:F20,"x"))/COUNTIF($B$6:$B$20,"?*"))</f>
        <v/>
      </c>
      <c r="G21" s="31">
        <f>IF(OR(G4="",COUNTIF($B$6:$B$20,"?*")=0),"",(COUNTIF(G6:G20,"✓")+COUNTIF(G6:G20,"x"))/COUNTIF($B$6:$B$20,"?*"))</f>
        <v/>
      </c>
      <c r="H21" s="31">
        <f>IF(OR(H4="",COUNTIF($B$6:$B$20,"?*")=0),"",(COUNTIF(H6:H20,"✓")+COUNTIF(H6:H20,"x"))/COUNTIF($B$6:$B$20,"?*"))</f>
        <v/>
      </c>
      <c r="I21" s="31">
        <f>IF(OR(I4="",COUNTIF($B$6:$B$20,"?*")=0),"",(COUNTIF(I6:I20,"✓")+COUNTIF(I6:I20,"x"))/COUNTIF($B$6:$B$20,"?*"))</f>
        <v/>
      </c>
      <c r="J21" s="31">
        <f>IF(OR(J4="",COUNTIF($B$6:$B$20,"?*")=0),"",(COUNTIF(J6:J20,"✓")+COUNTIF(J6:J20,"x"))/COUNTIF($B$6:$B$20,"?*"))</f>
        <v/>
      </c>
      <c r="K21" s="31">
        <f>IF(OR(K4="",COUNTIF($B$6:$B$20,"?*")=0),"",(COUNTIF(K6:K20,"✓")+COUNTIF(K6:K20,"x"))/COUNTIF($B$6:$B$20,"?*"))</f>
        <v/>
      </c>
      <c r="L21" s="31">
        <f>IF(OR(L4="",COUNTIF($B$6:$B$20,"?*")=0),"",(COUNTIF(L6:L20,"✓")+COUNTIF(L6:L20,"x"))/COUNTIF($B$6:$B$20,"?*"))</f>
        <v/>
      </c>
      <c r="M21" s="31">
        <f>IF(OR(M4="",COUNTIF($B$6:$B$20,"?*")=0),"",(COUNTIF(M6:M20,"✓")+COUNTIF(M6:M20,"x"))/COUNTIF($B$6:$B$20,"?*"))</f>
        <v/>
      </c>
      <c r="N21" s="31">
        <f>IF(OR(N4="",COUNTIF($B$6:$B$20,"?*")=0),"",(COUNTIF(N6:N20,"✓")+COUNTIF(N6:N20,"x"))/COUNTIF($B$6:$B$20,"?*"))</f>
        <v/>
      </c>
      <c r="O21" s="31">
        <f>IF(OR(O4="",COUNTIF($B$6:$B$20,"?*")=0),"",(COUNTIF(O6:O20,"✓")+COUNTIF(O6:O20,"x"))/COUNTIF($B$6:$B$20,"?*"))</f>
        <v/>
      </c>
      <c r="P21" s="31">
        <f>IF(OR(P4="",COUNTIF($B$6:$B$20,"?*")=0),"",(COUNTIF(P6:P20,"✓")+COUNTIF(P6:P20,"x"))/COUNTIF($B$6:$B$20,"?*"))</f>
        <v/>
      </c>
      <c r="Q21" s="31">
        <f>IF(OR(Q4="",COUNTIF($B$6:$B$20,"?*")=0),"",(COUNTIF(Q6:Q20,"✓")+COUNTIF(Q6:Q20,"x"))/COUNTIF($B$6:$B$20,"?*"))</f>
        <v/>
      </c>
      <c r="R21" s="31">
        <f>IF(OR(R4="",COUNTIF($B$6:$B$20,"?*")=0),"",(COUNTIF(R6:R20,"✓")+COUNTIF(R6:R20,"x"))/COUNTIF($B$6:$B$20,"?*"))</f>
        <v/>
      </c>
      <c r="S21" s="31">
        <f>IF(OR(S4="",COUNTIF($B$6:$B$20,"?*")=0),"",(COUNTIF(S6:S20,"✓")+COUNTIF(S6:S20,"x"))/COUNTIF($B$6:$B$20,"?*"))</f>
        <v/>
      </c>
      <c r="T21" s="31">
        <f>IF(OR(T4="",COUNTIF($B$6:$B$20,"?*")=0),"",(COUNTIF(T6:T20,"✓")+COUNTIF(T6:T20,"x"))/COUNTIF($B$6:$B$20,"?*"))</f>
        <v/>
      </c>
      <c r="U21" s="31">
        <f>IF(OR(U4="",COUNTIF($B$6:$B$20,"?*")=0),"",(COUNTIF(U6:U20,"✓")+COUNTIF(U6:U20,"x"))/COUNTIF($B$6:$B$20,"?*"))</f>
        <v/>
      </c>
      <c r="V21" s="31">
        <f>IF(OR(V4="",COUNTIF($B$6:$B$20,"?*")=0),"",(COUNTIF(V6:V20,"✓")+COUNTIF(V6:V20,"x"))/COUNTIF($B$6:$B$20,"?*"))</f>
        <v/>
      </c>
      <c r="W21" s="31">
        <f>IF(OR(W4="",COUNTIF($B$6:$B$20,"?*")=0),"",(COUNTIF(W6:W20,"✓")+COUNTIF(W6:W20,"x"))/COUNTIF($B$6:$B$20,"?*"))</f>
        <v/>
      </c>
      <c r="X21" s="31">
        <f>IF(OR(X4="",COUNTIF($B$6:$B$20,"?*")=0),"",(COUNTIF(X6:X20,"✓")+COUNTIF(X6:X20,"x"))/COUNTIF($B$6:$B$20,"?*"))</f>
        <v/>
      </c>
      <c r="Y21" s="31">
        <f>IF(OR(Y4="",COUNTIF($B$6:$B$20,"?*")=0),"",(COUNTIF(Y6:Y20,"✓")+COUNTIF(Y6:Y20,"x"))/COUNTIF($B$6:$B$20,"?*"))</f>
        <v/>
      </c>
      <c r="Z21" s="31">
        <f>IF(OR(Z4="",COUNTIF($B$6:$B$20,"?*")=0),"",(COUNTIF(Z6:Z20,"✓")+COUNTIF(Z6:Z20,"x"))/COUNTIF($B$6:$B$20,"?*"))</f>
        <v/>
      </c>
      <c r="AA21" s="31">
        <f>IF(OR(AA4="",COUNTIF($B$6:$B$20,"?*")=0),"",(COUNTIF(AA6:AA20,"✓")+COUNTIF(AA6:AA20,"x"))/COUNTIF($B$6:$B$20,"?*"))</f>
        <v/>
      </c>
      <c r="AB21" s="31">
        <f>IF(OR(AB4="",COUNTIF($B$6:$B$20,"?*")=0),"",(COUNTIF(AB6:AB20,"✓")+COUNTIF(AB6:AB20,"x"))/COUNTIF($B$6:$B$20,"?*"))</f>
        <v/>
      </c>
      <c r="AC21" s="31">
        <f>IF(OR(AC4="",COUNTIF($B$6:$B$20,"?*")=0),"",(COUNTIF(AC6:AC20,"✓")+COUNTIF(AC6:AC20,"x"))/COUNTIF($B$6:$B$20,"?*"))</f>
        <v/>
      </c>
      <c r="AD21" s="31">
        <f>IF(OR(AD4="",COUNTIF($B$6:$B$20,"?*")=0),"",(COUNTIF(AD6:AD20,"✓")+COUNTIF(AD6:AD20,"x"))/COUNTIF($B$6:$B$20,"?*"))</f>
        <v/>
      </c>
      <c r="AE21" s="31">
        <f>IF(OR(AE4="",COUNTIF($B$6:$B$20,"?*")=0),"",(COUNTIF(AE6:AE20,"✓")+COUNTIF(AE6:AE20,"x"))/COUNTIF($B$6:$B$20,"?*"))</f>
        <v/>
      </c>
      <c r="AF21" s="31">
        <f>IF(OR(AF4="",COUNTIF($B$6:$B$20,"?*")=0),"",(COUNTIF(AF6:AF20,"✓")+COUNTIF(AF6:AF20,"x"))/COUNTIF($B$6:$B$20,"?*"))</f>
        <v/>
      </c>
      <c r="AG21" s="31">
        <f>IF(OR(AG4="",COUNTIF($B$6:$B$20,"?*")=0),"",(COUNTIF(AG6:AG20,"✓")+COUNTIF(AG6:AG20,"x"))/COUNTIF($B$6:$B$20,"?*"))</f>
        <v/>
      </c>
      <c r="AJ21" s="32">
        <f>IFERROR(AVERAGE(AJ6:AJ20),"")</f>
        <v/>
      </c>
    </row>
  </sheetData>
  <conditionalFormatting sqref="C6:AG20">
    <cfRule type="expression" priority="1" dxfId="0">
      <formula>C$4=""</formula>
    </cfRule>
    <cfRule type="expression" priority="2" dxfId="1">
      <formula>OR(C6="✓",C6="x")</formula>
    </cfRule>
  </conditionalFormatting>
  <conditionalFormatting sqref="C4:AG5">
    <cfRule type="expression" priority="3" dxfId="1">
      <formula>C$4=TODAY()</formula>
    </cfRule>
  </conditionalFormatting>
  <conditionalFormatting sqref="C21:AG21">
    <cfRule type="colorScale" priority="4">
      <colorScale>
        <cfvo type="num" val="0"/>
        <cfvo type="num" val="1"/>
        <color rgb="00FFFFFF"/>
        <color rgb="0034D399"/>
      </colorScale>
    </cfRule>
  </conditionalFormatting>
  <conditionalFormatting sqref="AK6:AK20">
    <cfRule type="dataBar" priority="5">
      <dataBar>
        <cfvo type="num" val="0"/>
        <cfvo type="num" val="1"/>
        <color rgb="0034D399"/>
      </dataBar>
    </cfRule>
  </conditionalFormatting>
  <dataValidations count="1">
    <dataValidation sqref="C6:AG20" showDropDown="0" showInputMessage="0" showErrorMessage="0" allowBlank="1" error="Use ✓ or x to mark a habit as done." type="list">
      <formula1>"✓,x"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34D399"/>
    <outlinePr summaryBelow="1" summaryRight="1"/>
    <pageSetUpPr fitToPage="1"/>
  </sheetPr>
  <dimension ref="A1:AK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8" customWidth="1" min="34" max="34"/>
    <col width="8" customWidth="1" min="35" max="35"/>
    <col width="10" customWidth="1" min="36" max="36"/>
    <col width="10" customWidth="1" min="37" max="37"/>
  </cols>
  <sheetData>
    <row r="1" ht="30" customHeight="1">
      <c r="A1" s="1">
        <f>TEXT(DATE(Setup!$C$4,8,1),"mmmm yyyy")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20" customHeight="1">
      <c r="A2" s="3" t="inlineStr">
        <is>
          <t>Mark ✓ when done  ·  علّم ✓ عند الإنجاز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4">
      <c r="B4" s="21" t="inlineStr">
        <is>
          <t>Habit</t>
        </is>
      </c>
      <c r="C4" s="22">
        <f>IF(MONTH(DATE(Setup!$C$4,8,1))=8,DATE(Setup!$C$4,8,1),"")</f>
        <v/>
      </c>
      <c r="D4" s="22">
        <f>IF(MONTH(DATE(Setup!$C$4,8,2))=8,DATE(Setup!$C$4,8,2),"")</f>
        <v/>
      </c>
      <c r="E4" s="22">
        <f>IF(MONTH(DATE(Setup!$C$4,8,3))=8,DATE(Setup!$C$4,8,3),"")</f>
        <v/>
      </c>
      <c r="F4" s="22">
        <f>IF(MONTH(DATE(Setup!$C$4,8,4))=8,DATE(Setup!$C$4,8,4),"")</f>
        <v/>
      </c>
      <c r="G4" s="22">
        <f>IF(MONTH(DATE(Setup!$C$4,8,5))=8,DATE(Setup!$C$4,8,5),"")</f>
        <v/>
      </c>
      <c r="H4" s="22">
        <f>IF(MONTH(DATE(Setup!$C$4,8,6))=8,DATE(Setup!$C$4,8,6),"")</f>
        <v/>
      </c>
      <c r="I4" s="22">
        <f>IF(MONTH(DATE(Setup!$C$4,8,7))=8,DATE(Setup!$C$4,8,7),"")</f>
        <v/>
      </c>
      <c r="J4" s="22">
        <f>IF(MONTH(DATE(Setup!$C$4,8,8))=8,DATE(Setup!$C$4,8,8),"")</f>
        <v/>
      </c>
      <c r="K4" s="22">
        <f>IF(MONTH(DATE(Setup!$C$4,8,9))=8,DATE(Setup!$C$4,8,9),"")</f>
        <v/>
      </c>
      <c r="L4" s="22">
        <f>IF(MONTH(DATE(Setup!$C$4,8,10))=8,DATE(Setup!$C$4,8,10),"")</f>
        <v/>
      </c>
      <c r="M4" s="22">
        <f>IF(MONTH(DATE(Setup!$C$4,8,11))=8,DATE(Setup!$C$4,8,11),"")</f>
        <v/>
      </c>
      <c r="N4" s="22">
        <f>IF(MONTH(DATE(Setup!$C$4,8,12))=8,DATE(Setup!$C$4,8,12),"")</f>
        <v/>
      </c>
      <c r="O4" s="22">
        <f>IF(MONTH(DATE(Setup!$C$4,8,13))=8,DATE(Setup!$C$4,8,13),"")</f>
        <v/>
      </c>
      <c r="P4" s="22">
        <f>IF(MONTH(DATE(Setup!$C$4,8,14))=8,DATE(Setup!$C$4,8,14),"")</f>
        <v/>
      </c>
      <c r="Q4" s="22">
        <f>IF(MONTH(DATE(Setup!$C$4,8,15))=8,DATE(Setup!$C$4,8,15),"")</f>
        <v/>
      </c>
      <c r="R4" s="22">
        <f>IF(MONTH(DATE(Setup!$C$4,8,16))=8,DATE(Setup!$C$4,8,16),"")</f>
        <v/>
      </c>
      <c r="S4" s="22">
        <f>IF(MONTH(DATE(Setup!$C$4,8,17))=8,DATE(Setup!$C$4,8,17),"")</f>
        <v/>
      </c>
      <c r="T4" s="22">
        <f>IF(MONTH(DATE(Setup!$C$4,8,18))=8,DATE(Setup!$C$4,8,18),"")</f>
        <v/>
      </c>
      <c r="U4" s="22">
        <f>IF(MONTH(DATE(Setup!$C$4,8,19))=8,DATE(Setup!$C$4,8,19),"")</f>
        <v/>
      </c>
      <c r="V4" s="22">
        <f>IF(MONTH(DATE(Setup!$C$4,8,20))=8,DATE(Setup!$C$4,8,20),"")</f>
        <v/>
      </c>
      <c r="W4" s="22">
        <f>IF(MONTH(DATE(Setup!$C$4,8,21))=8,DATE(Setup!$C$4,8,21),"")</f>
        <v/>
      </c>
      <c r="X4" s="22">
        <f>IF(MONTH(DATE(Setup!$C$4,8,22))=8,DATE(Setup!$C$4,8,22),"")</f>
        <v/>
      </c>
      <c r="Y4" s="22">
        <f>IF(MONTH(DATE(Setup!$C$4,8,23))=8,DATE(Setup!$C$4,8,23),"")</f>
        <v/>
      </c>
      <c r="Z4" s="22">
        <f>IF(MONTH(DATE(Setup!$C$4,8,24))=8,DATE(Setup!$C$4,8,24),"")</f>
        <v/>
      </c>
      <c r="AA4" s="22">
        <f>IF(MONTH(DATE(Setup!$C$4,8,25))=8,DATE(Setup!$C$4,8,25),"")</f>
        <v/>
      </c>
      <c r="AB4" s="22">
        <f>IF(MONTH(DATE(Setup!$C$4,8,26))=8,DATE(Setup!$C$4,8,26),"")</f>
        <v/>
      </c>
      <c r="AC4" s="22">
        <f>IF(MONTH(DATE(Setup!$C$4,8,27))=8,DATE(Setup!$C$4,8,27),"")</f>
        <v/>
      </c>
      <c r="AD4" s="22">
        <f>IF(MONTH(DATE(Setup!$C$4,8,28))=8,DATE(Setup!$C$4,8,28),"")</f>
        <v/>
      </c>
      <c r="AE4" s="22">
        <f>IF(MONTH(DATE(Setup!$C$4,8,29))=8,DATE(Setup!$C$4,8,29),"")</f>
        <v/>
      </c>
      <c r="AF4" s="22">
        <f>IF(MONTH(DATE(Setup!$C$4,8,30))=8,DATE(Setup!$C$4,8,30),"")</f>
        <v/>
      </c>
      <c r="AG4" s="22">
        <f>IF(MONTH(DATE(Setup!$C$4,8,31))=8,DATE(Setup!$C$4,8,31),"")</f>
        <v/>
      </c>
      <c r="AH4" s="23" t="inlineStr">
        <is>
          <t>Done</t>
        </is>
      </c>
      <c r="AI4" s="23" t="inlineStr">
        <is>
          <t>Goal</t>
        </is>
      </c>
      <c r="AJ4" s="23" t="inlineStr">
        <is>
          <t>Rate</t>
        </is>
      </c>
      <c r="AK4" s="23" t="inlineStr">
        <is>
          <t>vs goal</t>
        </is>
      </c>
    </row>
    <row r="5">
      <c r="B5" s="24" t="n"/>
      <c r="C5" s="25">
        <f>IF(C4="","",MID("SMTWTFS",WEEKDAY(C4),1))</f>
        <v/>
      </c>
      <c r="D5" s="25">
        <f>IF(D4="","",MID("SMTWTFS",WEEKDAY(D4),1))</f>
        <v/>
      </c>
      <c r="E5" s="25">
        <f>IF(E4="","",MID("SMTWTFS",WEEKDAY(E4),1))</f>
        <v/>
      </c>
      <c r="F5" s="25">
        <f>IF(F4="","",MID("SMTWTFS",WEEKDAY(F4),1))</f>
        <v/>
      </c>
      <c r="G5" s="25">
        <f>IF(G4="","",MID("SMTWTFS",WEEKDAY(G4),1))</f>
        <v/>
      </c>
      <c r="H5" s="25">
        <f>IF(H4="","",MID("SMTWTFS",WEEKDAY(H4),1))</f>
        <v/>
      </c>
      <c r="I5" s="25">
        <f>IF(I4="","",MID("SMTWTFS",WEEKDAY(I4),1))</f>
        <v/>
      </c>
      <c r="J5" s="25">
        <f>IF(J4="","",MID("SMTWTFS",WEEKDAY(J4),1))</f>
        <v/>
      </c>
      <c r="K5" s="25">
        <f>IF(K4="","",MID("SMTWTFS",WEEKDAY(K4),1))</f>
        <v/>
      </c>
      <c r="L5" s="25">
        <f>IF(L4="","",MID("SMTWTFS",WEEKDAY(L4),1))</f>
        <v/>
      </c>
      <c r="M5" s="25">
        <f>IF(M4="","",MID("SMTWTFS",WEEKDAY(M4),1))</f>
        <v/>
      </c>
      <c r="N5" s="25">
        <f>IF(N4="","",MID("SMTWTFS",WEEKDAY(N4),1))</f>
        <v/>
      </c>
      <c r="O5" s="25">
        <f>IF(O4="","",MID("SMTWTFS",WEEKDAY(O4),1))</f>
        <v/>
      </c>
      <c r="P5" s="25">
        <f>IF(P4="","",MID("SMTWTFS",WEEKDAY(P4),1))</f>
        <v/>
      </c>
      <c r="Q5" s="25">
        <f>IF(Q4="","",MID("SMTWTFS",WEEKDAY(Q4),1))</f>
        <v/>
      </c>
      <c r="R5" s="25">
        <f>IF(R4="","",MID("SMTWTFS",WEEKDAY(R4),1))</f>
        <v/>
      </c>
      <c r="S5" s="25">
        <f>IF(S4="","",MID("SMTWTFS",WEEKDAY(S4),1))</f>
        <v/>
      </c>
      <c r="T5" s="25">
        <f>IF(T4="","",MID("SMTWTFS",WEEKDAY(T4),1))</f>
        <v/>
      </c>
      <c r="U5" s="25">
        <f>IF(U4="","",MID("SMTWTFS",WEEKDAY(U4),1))</f>
        <v/>
      </c>
      <c r="V5" s="25">
        <f>IF(V4="","",MID("SMTWTFS",WEEKDAY(V4),1))</f>
        <v/>
      </c>
      <c r="W5" s="25">
        <f>IF(W4="","",MID("SMTWTFS",WEEKDAY(W4),1))</f>
        <v/>
      </c>
      <c r="X5" s="25">
        <f>IF(X4="","",MID("SMTWTFS",WEEKDAY(X4),1))</f>
        <v/>
      </c>
      <c r="Y5" s="25">
        <f>IF(Y4="","",MID("SMTWTFS",WEEKDAY(Y4),1))</f>
        <v/>
      </c>
      <c r="Z5" s="25">
        <f>IF(Z4="","",MID("SMTWTFS",WEEKDAY(Z4),1))</f>
        <v/>
      </c>
      <c r="AA5" s="25">
        <f>IF(AA4="","",MID("SMTWTFS",WEEKDAY(AA4),1))</f>
        <v/>
      </c>
      <c r="AB5" s="25">
        <f>IF(AB4="","",MID("SMTWTFS",WEEKDAY(AB4),1))</f>
        <v/>
      </c>
      <c r="AC5" s="25">
        <f>IF(AC4="","",MID("SMTWTFS",WEEKDAY(AC4),1))</f>
        <v/>
      </c>
      <c r="AD5" s="25">
        <f>IF(AD4="","",MID("SMTWTFS",WEEKDAY(AD4),1))</f>
        <v/>
      </c>
      <c r="AE5" s="25">
        <f>IF(AE4="","",MID("SMTWTFS",WEEKDAY(AE4),1))</f>
        <v/>
      </c>
      <c r="AF5" s="25">
        <f>IF(AF4="","",MID("SMTWTFS",WEEKDAY(AF4),1))</f>
        <v/>
      </c>
      <c r="AG5" s="25">
        <f>IF(AG4="","",MID("SMTWTFS",WEEKDAY(AG4),1))</f>
        <v/>
      </c>
      <c r="AH5" s="26" t="n"/>
      <c r="AI5" s="26" t="n"/>
      <c r="AJ5" s="26" t="n"/>
      <c r="AK5" s="26" t="n"/>
    </row>
    <row r="6" ht="20" customHeight="1">
      <c r="B6" s="18">
        <f>IF(Setup!B7="","",Setup!B7)</f>
        <v/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8">
        <f>IF(B6="","",COUNTIF(C6:AG6,"✓")+COUNTIF(C6:AG6,"x"))</f>
        <v/>
      </c>
      <c r="AI6" s="28">
        <f>IF(OR(B6="",Setup!C7=""),"",MIN(Setup!C7,COUNT($C$4:$AG$4)))</f>
        <v/>
      </c>
      <c r="AJ6" s="29">
        <f>IF(B6="","",AH6/COUNT($C$4:$AG$4))</f>
        <v/>
      </c>
      <c r="AK6" s="29">
        <f>IF(OR(B6="",N(AI6)=0),"",MIN(1,AH6/AI6))</f>
        <v/>
      </c>
    </row>
    <row r="7" ht="20" customHeight="1">
      <c r="B7" s="18">
        <f>IF(Setup!B8="","",Setup!B8)</f>
        <v/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8">
        <f>IF(B7="","",COUNTIF(C7:AG7,"✓")+COUNTIF(C7:AG7,"x"))</f>
        <v/>
      </c>
      <c r="AI7" s="28">
        <f>IF(OR(B7="",Setup!C8=""),"",MIN(Setup!C8,COUNT($C$4:$AG$4)))</f>
        <v/>
      </c>
      <c r="AJ7" s="29">
        <f>IF(B7="","",AH7/COUNT($C$4:$AG$4))</f>
        <v/>
      </c>
      <c r="AK7" s="29">
        <f>IF(OR(B7="",N(AI7)=0),"",MIN(1,AH7/AI7))</f>
        <v/>
      </c>
    </row>
    <row r="8" ht="20" customHeight="1">
      <c r="B8" s="18">
        <f>IF(Setup!B9="","",Setup!B9)</f>
        <v/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8">
        <f>IF(B8="","",COUNTIF(C8:AG8,"✓")+COUNTIF(C8:AG8,"x"))</f>
        <v/>
      </c>
      <c r="AI8" s="28">
        <f>IF(OR(B8="",Setup!C9=""),"",MIN(Setup!C9,COUNT($C$4:$AG$4)))</f>
        <v/>
      </c>
      <c r="AJ8" s="29">
        <f>IF(B8="","",AH8/COUNT($C$4:$AG$4))</f>
        <v/>
      </c>
      <c r="AK8" s="29">
        <f>IF(OR(B8="",N(AI8)=0),"",MIN(1,AH8/AI8))</f>
        <v/>
      </c>
    </row>
    <row r="9" ht="20" customHeight="1">
      <c r="B9" s="18">
        <f>IF(Setup!B10="","",Setup!B10)</f>
        <v/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8">
        <f>IF(B9="","",COUNTIF(C9:AG9,"✓")+COUNTIF(C9:AG9,"x"))</f>
        <v/>
      </c>
      <c r="AI9" s="28">
        <f>IF(OR(B9="",Setup!C10=""),"",MIN(Setup!C10,COUNT($C$4:$AG$4)))</f>
        <v/>
      </c>
      <c r="AJ9" s="29">
        <f>IF(B9="","",AH9/COUNT($C$4:$AG$4))</f>
        <v/>
      </c>
      <c r="AK9" s="29">
        <f>IF(OR(B9="",N(AI9)=0),"",MIN(1,AH9/AI9))</f>
        <v/>
      </c>
    </row>
    <row r="10" ht="20" customHeight="1">
      <c r="B10" s="18">
        <f>IF(Setup!B11="","",Setup!B11)</f>
        <v/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8">
        <f>IF(B10="","",COUNTIF(C10:AG10,"✓")+COUNTIF(C10:AG10,"x"))</f>
        <v/>
      </c>
      <c r="AI10" s="28">
        <f>IF(OR(B10="",Setup!C11=""),"",MIN(Setup!C11,COUNT($C$4:$AG$4)))</f>
        <v/>
      </c>
      <c r="AJ10" s="29">
        <f>IF(B10="","",AH10/COUNT($C$4:$AG$4))</f>
        <v/>
      </c>
      <c r="AK10" s="29">
        <f>IF(OR(B10="",N(AI10)=0),"",MIN(1,AH10/AI10))</f>
        <v/>
      </c>
    </row>
    <row r="11" ht="20" customHeight="1">
      <c r="B11" s="18">
        <f>IF(Setup!B12="","",Setup!B12)</f>
        <v/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8">
        <f>IF(B11="","",COUNTIF(C11:AG11,"✓")+COUNTIF(C11:AG11,"x"))</f>
        <v/>
      </c>
      <c r="AI11" s="28">
        <f>IF(OR(B11="",Setup!C12=""),"",MIN(Setup!C12,COUNT($C$4:$AG$4)))</f>
        <v/>
      </c>
      <c r="AJ11" s="29">
        <f>IF(B11="","",AH11/COUNT($C$4:$AG$4))</f>
        <v/>
      </c>
      <c r="AK11" s="29">
        <f>IF(OR(B11="",N(AI11)=0),"",MIN(1,AH11/AI11))</f>
        <v/>
      </c>
    </row>
    <row r="12" ht="20" customHeight="1">
      <c r="B12" s="18">
        <f>IF(Setup!B13="","",Setup!B13)</f>
        <v/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8">
        <f>IF(B12="","",COUNTIF(C12:AG12,"✓")+COUNTIF(C12:AG12,"x"))</f>
        <v/>
      </c>
      <c r="AI12" s="28">
        <f>IF(OR(B12="",Setup!C13=""),"",MIN(Setup!C13,COUNT($C$4:$AG$4)))</f>
        <v/>
      </c>
      <c r="AJ12" s="29">
        <f>IF(B12="","",AH12/COUNT($C$4:$AG$4))</f>
        <v/>
      </c>
      <c r="AK12" s="29">
        <f>IF(OR(B12="",N(AI12)=0),"",MIN(1,AH12/AI12))</f>
        <v/>
      </c>
    </row>
    <row r="13" ht="20" customHeight="1">
      <c r="B13" s="18">
        <f>IF(Setup!B14="","",Setup!B14)</f>
        <v/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8">
        <f>IF(B13="","",COUNTIF(C13:AG13,"✓")+COUNTIF(C13:AG13,"x"))</f>
        <v/>
      </c>
      <c r="AI13" s="28">
        <f>IF(OR(B13="",Setup!C14=""),"",MIN(Setup!C14,COUNT($C$4:$AG$4)))</f>
        <v/>
      </c>
      <c r="AJ13" s="29">
        <f>IF(B13="","",AH13/COUNT($C$4:$AG$4))</f>
        <v/>
      </c>
      <c r="AK13" s="29">
        <f>IF(OR(B13="",N(AI13)=0),"",MIN(1,AH13/AI13))</f>
        <v/>
      </c>
    </row>
    <row r="14" ht="20" customHeight="1">
      <c r="B14" s="18">
        <f>IF(Setup!B15="","",Setup!B15)</f>
        <v/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8">
        <f>IF(B14="","",COUNTIF(C14:AG14,"✓")+COUNTIF(C14:AG14,"x"))</f>
        <v/>
      </c>
      <c r="AI14" s="28">
        <f>IF(OR(B14="",Setup!C15=""),"",MIN(Setup!C15,COUNT($C$4:$AG$4)))</f>
        <v/>
      </c>
      <c r="AJ14" s="29">
        <f>IF(B14="","",AH14/COUNT($C$4:$AG$4))</f>
        <v/>
      </c>
      <c r="AK14" s="29">
        <f>IF(OR(B14="",N(AI14)=0),"",MIN(1,AH14/AI14))</f>
        <v/>
      </c>
    </row>
    <row r="15" ht="20" customHeight="1">
      <c r="B15" s="18">
        <f>IF(Setup!B16="","",Setup!B16)</f>
        <v/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8">
        <f>IF(B15="","",COUNTIF(C15:AG15,"✓")+COUNTIF(C15:AG15,"x"))</f>
        <v/>
      </c>
      <c r="AI15" s="28">
        <f>IF(OR(B15="",Setup!C16=""),"",MIN(Setup!C16,COUNT($C$4:$AG$4)))</f>
        <v/>
      </c>
      <c r="AJ15" s="29">
        <f>IF(B15="","",AH15/COUNT($C$4:$AG$4))</f>
        <v/>
      </c>
      <c r="AK15" s="29">
        <f>IF(OR(B15="",N(AI15)=0),"",MIN(1,AH15/AI15))</f>
        <v/>
      </c>
    </row>
    <row r="16" ht="20" customHeight="1">
      <c r="B16" s="18">
        <f>IF(Setup!B17="","",Setup!B17)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8">
        <f>IF(B16="","",COUNTIF(C16:AG16,"✓")+COUNTIF(C16:AG16,"x"))</f>
        <v/>
      </c>
      <c r="AI16" s="28">
        <f>IF(OR(B16="",Setup!C17=""),"",MIN(Setup!C17,COUNT($C$4:$AG$4)))</f>
        <v/>
      </c>
      <c r="AJ16" s="29">
        <f>IF(B16="","",AH16/COUNT($C$4:$AG$4))</f>
        <v/>
      </c>
      <c r="AK16" s="29">
        <f>IF(OR(B16="",N(AI16)=0),"",MIN(1,AH16/AI16))</f>
        <v/>
      </c>
    </row>
    <row r="17" ht="20" customHeight="1">
      <c r="B17" s="18">
        <f>IF(Setup!B18="","",Setup!B18)</f>
        <v/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8">
        <f>IF(B17="","",COUNTIF(C17:AG17,"✓")+COUNTIF(C17:AG17,"x"))</f>
        <v/>
      </c>
      <c r="AI17" s="28">
        <f>IF(OR(B17="",Setup!C18=""),"",MIN(Setup!C18,COUNT($C$4:$AG$4)))</f>
        <v/>
      </c>
      <c r="AJ17" s="29">
        <f>IF(B17="","",AH17/COUNT($C$4:$AG$4))</f>
        <v/>
      </c>
      <c r="AK17" s="29">
        <f>IF(OR(B17="",N(AI17)=0),"",MIN(1,AH17/AI17))</f>
        <v/>
      </c>
    </row>
    <row r="18" ht="20" customHeight="1">
      <c r="B18" s="18">
        <f>IF(Setup!B19="","",Setup!B19)</f>
        <v/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8">
        <f>IF(B18="","",COUNTIF(C18:AG18,"✓")+COUNTIF(C18:AG18,"x"))</f>
        <v/>
      </c>
      <c r="AI18" s="28">
        <f>IF(OR(B18="",Setup!C19=""),"",MIN(Setup!C19,COUNT($C$4:$AG$4)))</f>
        <v/>
      </c>
      <c r="AJ18" s="29">
        <f>IF(B18="","",AH18/COUNT($C$4:$AG$4))</f>
        <v/>
      </c>
      <c r="AK18" s="29">
        <f>IF(OR(B18="",N(AI18)=0),"",MIN(1,AH18/AI18))</f>
        <v/>
      </c>
    </row>
    <row r="19" ht="20" customHeight="1">
      <c r="B19" s="18">
        <f>IF(Setup!B20="","",Setup!B20)</f>
        <v/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8">
        <f>IF(B19="","",COUNTIF(C19:AG19,"✓")+COUNTIF(C19:AG19,"x"))</f>
        <v/>
      </c>
      <c r="AI19" s="28">
        <f>IF(OR(B19="",Setup!C20=""),"",MIN(Setup!C20,COUNT($C$4:$AG$4)))</f>
        <v/>
      </c>
      <c r="AJ19" s="29">
        <f>IF(B19="","",AH19/COUNT($C$4:$AG$4))</f>
        <v/>
      </c>
      <c r="AK19" s="29">
        <f>IF(OR(B19="",N(AI19)=0),"",MIN(1,AH19/AI19))</f>
        <v/>
      </c>
    </row>
    <row r="20" ht="20" customHeight="1">
      <c r="B20" s="18">
        <f>IF(Setup!B21="","",Setup!B21)</f>
        <v/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8">
        <f>IF(B20="","",COUNTIF(C20:AG20,"✓")+COUNTIF(C20:AG20,"x"))</f>
        <v/>
      </c>
      <c r="AI20" s="28">
        <f>IF(OR(B20="",Setup!C21=""),"",MIN(Setup!C21,COUNT($C$4:$AG$4)))</f>
        <v/>
      </c>
      <c r="AJ20" s="29">
        <f>IF(B20="","",AH20/COUNT($C$4:$AG$4))</f>
        <v/>
      </c>
      <c r="AK20" s="29">
        <f>IF(OR(B20="",N(AI20)=0),"",MIN(1,AH20/AI20))</f>
        <v/>
      </c>
    </row>
    <row r="21">
      <c r="B21" s="30" t="inlineStr">
        <is>
          <t>Day complete</t>
        </is>
      </c>
      <c r="C21" s="31">
        <f>IF(OR(C4="",COUNTIF($B$6:$B$20,"?*")=0),"",(COUNTIF(C6:C20,"✓")+COUNTIF(C6:C20,"x"))/COUNTIF($B$6:$B$20,"?*"))</f>
        <v/>
      </c>
      <c r="D21" s="31">
        <f>IF(OR(D4="",COUNTIF($B$6:$B$20,"?*")=0),"",(COUNTIF(D6:D20,"✓")+COUNTIF(D6:D20,"x"))/COUNTIF($B$6:$B$20,"?*"))</f>
        <v/>
      </c>
      <c r="E21" s="31">
        <f>IF(OR(E4="",COUNTIF($B$6:$B$20,"?*")=0),"",(COUNTIF(E6:E20,"✓")+COUNTIF(E6:E20,"x"))/COUNTIF($B$6:$B$20,"?*"))</f>
        <v/>
      </c>
      <c r="F21" s="31">
        <f>IF(OR(F4="",COUNTIF($B$6:$B$20,"?*")=0),"",(COUNTIF(F6:F20,"✓")+COUNTIF(F6:F20,"x"))/COUNTIF($B$6:$B$20,"?*"))</f>
        <v/>
      </c>
      <c r="G21" s="31">
        <f>IF(OR(G4="",COUNTIF($B$6:$B$20,"?*")=0),"",(COUNTIF(G6:G20,"✓")+COUNTIF(G6:G20,"x"))/COUNTIF($B$6:$B$20,"?*"))</f>
        <v/>
      </c>
      <c r="H21" s="31">
        <f>IF(OR(H4="",COUNTIF($B$6:$B$20,"?*")=0),"",(COUNTIF(H6:H20,"✓")+COUNTIF(H6:H20,"x"))/COUNTIF($B$6:$B$20,"?*"))</f>
        <v/>
      </c>
      <c r="I21" s="31">
        <f>IF(OR(I4="",COUNTIF($B$6:$B$20,"?*")=0),"",(COUNTIF(I6:I20,"✓")+COUNTIF(I6:I20,"x"))/COUNTIF($B$6:$B$20,"?*"))</f>
        <v/>
      </c>
      <c r="J21" s="31">
        <f>IF(OR(J4="",COUNTIF($B$6:$B$20,"?*")=0),"",(COUNTIF(J6:J20,"✓")+COUNTIF(J6:J20,"x"))/COUNTIF($B$6:$B$20,"?*"))</f>
        <v/>
      </c>
      <c r="K21" s="31">
        <f>IF(OR(K4="",COUNTIF($B$6:$B$20,"?*")=0),"",(COUNTIF(K6:K20,"✓")+COUNTIF(K6:K20,"x"))/COUNTIF($B$6:$B$20,"?*"))</f>
        <v/>
      </c>
      <c r="L21" s="31">
        <f>IF(OR(L4="",COUNTIF($B$6:$B$20,"?*")=0),"",(COUNTIF(L6:L20,"✓")+COUNTIF(L6:L20,"x"))/COUNTIF($B$6:$B$20,"?*"))</f>
        <v/>
      </c>
      <c r="M21" s="31">
        <f>IF(OR(M4="",COUNTIF($B$6:$B$20,"?*")=0),"",(COUNTIF(M6:M20,"✓")+COUNTIF(M6:M20,"x"))/COUNTIF($B$6:$B$20,"?*"))</f>
        <v/>
      </c>
      <c r="N21" s="31">
        <f>IF(OR(N4="",COUNTIF($B$6:$B$20,"?*")=0),"",(COUNTIF(N6:N20,"✓")+COUNTIF(N6:N20,"x"))/COUNTIF($B$6:$B$20,"?*"))</f>
        <v/>
      </c>
      <c r="O21" s="31">
        <f>IF(OR(O4="",COUNTIF($B$6:$B$20,"?*")=0),"",(COUNTIF(O6:O20,"✓")+COUNTIF(O6:O20,"x"))/COUNTIF($B$6:$B$20,"?*"))</f>
        <v/>
      </c>
      <c r="P21" s="31">
        <f>IF(OR(P4="",COUNTIF($B$6:$B$20,"?*")=0),"",(COUNTIF(P6:P20,"✓")+COUNTIF(P6:P20,"x"))/COUNTIF($B$6:$B$20,"?*"))</f>
        <v/>
      </c>
      <c r="Q21" s="31">
        <f>IF(OR(Q4="",COUNTIF($B$6:$B$20,"?*")=0),"",(COUNTIF(Q6:Q20,"✓")+COUNTIF(Q6:Q20,"x"))/COUNTIF($B$6:$B$20,"?*"))</f>
        <v/>
      </c>
      <c r="R21" s="31">
        <f>IF(OR(R4="",COUNTIF($B$6:$B$20,"?*")=0),"",(COUNTIF(R6:R20,"✓")+COUNTIF(R6:R20,"x"))/COUNTIF($B$6:$B$20,"?*"))</f>
        <v/>
      </c>
      <c r="S21" s="31">
        <f>IF(OR(S4="",COUNTIF($B$6:$B$20,"?*")=0),"",(COUNTIF(S6:S20,"✓")+COUNTIF(S6:S20,"x"))/COUNTIF($B$6:$B$20,"?*"))</f>
        <v/>
      </c>
      <c r="T21" s="31">
        <f>IF(OR(T4="",COUNTIF($B$6:$B$20,"?*")=0),"",(COUNTIF(T6:T20,"✓")+COUNTIF(T6:T20,"x"))/COUNTIF($B$6:$B$20,"?*"))</f>
        <v/>
      </c>
      <c r="U21" s="31">
        <f>IF(OR(U4="",COUNTIF($B$6:$B$20,"?*")=0),"",(COUNTIF(U6:U20,"✓")+COUNTIF(U6:U20,"x"))/COUNTIF($B$6:$B$20,"?*"))</f>
        <v/>
      </c>
      <c r="V21" s="31">
        <f>IF(OR(V4="",COUNTIF($B$6:$B$20,"?*")=0),"",(COUNTIF(V6:V20,"✓")+COUNTIF(V6:V20,"x"))/COUNTIF($B$6:$B$20,"?*"))</f>
        <v/>
      </c>
      <c r="W21" s="31">
        <f>IF(OR(W4="",COUNTIF($B$6:$B$20,"?*")=0),"",(COUNTIF(W6:W20,"✓")+COUNTIF(W6:W20,"x"))/COUNTIF($B$6:$B$20,"?*"))</f>
        <v/>
      </c>
      <c r="X21" s="31">
        <f>IF(OR(X4="",COUNTIF($B$6:$B$20,"?*")=0),"",(COUNTIF(X6:X20,"✓")+COUNTIF(X6:X20,"x"))/COUNTIF($B$6:$B$20,"?*"))</f>
        <v/>
      </c>
      <c r="Y21" s="31">
        <f>IF(OR(Y4="",COUNTIF($B$6:$B$20,"?*")=0),"",(COUNTIF(Y6:Y20,"✓")+COUNTIF(Y6:Y20,"x"))/COUNTIF($B$6:$B$20,"?*"))</f>
        <v/>
      </c>
      <c r="Z21" s="31">
        <f>IF(OR(Z4="",COUNTIF($B$6:$B$20,"?*")=0),"",(COUNTIF(Z6:Z20,"✓")+COUNTIF(Z6:Z20,"x"))/COUNTIF($B$6:$B$20,"?*"))</f>
        <v/>
      </c>
      <c r="AA21" s="31">
        <f>IF(OR(AA4="",COUNTIF($B$6:$B$20,"?*")=0),"",(COUNTIF(AA6:AA20,"✓")+COUNTIF(AA6:AA20,"x"))/COUNTIF($B$6:$B$20,"?*"))</f>
        <v/>
      </c>
      <c r="AB21" s="31">
        <f>IF(OR(AB4="",COUNTIF($B$6:$B$20,"?*")=0),"",(COUNTIF(AB6:AB20,"✓")+COUNTIF(AB6:AB20,"x"))/COUNTIF($B$6:$B$20,"?*"))</f>
        <v/>
      </c>
      <c r="AC21" s="31">
        <f>IF(OR(AC4="",COUNTIF($B$6:$B$20,"?*")=0),"",(COUNTIF(AC6:AC20,"✓")+COUNTIF(AC6:AC20,"x"))/COUNTIF($B$6:$B$20,"?*"))</f>
        <v/>
      </c>
      <c r="AD21" s="31">
        <f>IF(OR(AD4="",COUNTIF($B$6:$B$20,"?*")=0),"",(COUNTIF(AD6:AD20,"✓")+COUNTIF(AD6:AD20,"x"))/COUNTIF($B$6:$B$20,"?*"))</f>
        <v/>
      </c>
      <c r="AE21" s="31">
        <f>IF(OR(AE4="",COUNTIF($B$6:$B$20,"?*")=0),"",(COUNTIF(AE6:AE20,"✓")+COUNTIF(AE6:AE20,"x"))/COUNTIF($B$6:$B$20,"?*"))</f>
        <v/>
      </c>
      <c r="AF21" s="31">
        <f>IF(OR(AF4="",COUNTIF($B$6:$B$20,"?*")=0),"",(COUNTIF(AF6:AF20,"✓")+COUNTIF(AF6:AF20,"x"))/COUNTIF($B$6:$B$20,"?*"))</f>
        <v/>
      </c>
      <c r="AG21" s="31">
        <f>IF(OR(AG4="",COUNTIF($B$6:$B$20,"?*")=0),"",(COUNTIF(AG6:AG20,"✓")+COUNTIF(AG6:AG20,"x"))/COUNTIF($B$6:$B$20,"?*"))</f>
        <v/>
      </c>
      <c r="AJ21" s="32">
        <f>IFERROR(AVERAGE(AJ6:AJ20),"")</f>
        <v/>
      </c>
    </row>
  </sheetData>
  <conditionalFormatting sqref="C6:AG20">
    <cfRule type="expression" priority="1" dxfId="0">
      <formula>C$4=""</formula>
    </cfRule>
    <cfRule type="expression" priority="2" dxfId="1">
      <formula>OR(C6="✓",C6="x")</formula>
    </cfRule>
  </conditionalFormatting>
  <conditionalFormatting sqref="C4:AG5">
    <cfRule type="expression" priority="3" dxfId="1">
      <formula>C$4=TODAY()</formula>
    </cfRule>
  </conditionalFormatting>
  <conditionalFormatting sqref="C21:AG21">
    <cfRule type="colorScale" priority="4">
      <colorScale>
        <cfvo type="num" val="0"/>
        <cfvo type="num" val="1"/>
        <color rgb="00FFFFFF"/>
        <color rgb="0034D399"/>
      </colorScale>
    </cfRule>
  </conditionalFormatting>
  <conditionalFormatting sqref="AK6:AK20">
    <cfRule type="dataBar" priority="5">
      <dataBar>
        <cfvo type="num" val="0"/>
        <cfvo type="num" val="1"/>
        <color rgb="0034D399"/>
      </dataBar>
    </cfRule>
  </conditionalFormatting>
  <dataValidations count="1">
    <dataValidation sqref="C6:AG20" showDropDown="0" showInputMessage="0" showErrorMessage="0" allowBlank="1" error="Use ✓ or x to mark a habit as done." type="list">
      <formula1>"✓,x"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34D399"/>
    <outlinePr summaryBelow="1" summaryRight="1"/>
    <pageSetUpPr fitToPage="1"/>
  </sheetPr>
  <dimension ref="A1:AK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8" customWidth="1" min="34" max="34"/>
    <col width="8" customWidth="1" min="35" max="35"/>
    <col width="10" customWidth="1" min="36" max="36"/>
    <col width="10" customWidth="1" min="37" max="37"/>
  </cols>
  <sheetData>
    <row r="1" ht="30" customHeight="1">
      <c r="A1" s="1">
        <f>TEXT(DATE(Setup!$C$4,9,1),"mmmm yyyy")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20" customHeight="1">
      <c r="A2" s="3" t="inlineStr">
        <is>
          <t>Mark ✓ when done  ·  علّم ✓ عند الإنجاز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4">
      <c r="B4" s="21" t="inlineStr">
        <is>
          <t>Habit</t>
        </is>
      </c>
      <c r="C4" s="22">
        <f>IF(MONTH(DATE(Setup!$C$4,9,1))=9,DATE(Setup!$C$4,9,1),"")</f>
        <v/>
      </c>
      <c r="D4" s="22">
        <f>IF(MONTH(DATE(Setup!$C$4,9,2))=9,DATE(Setup!$C$4,9,2),"")</f>
        <v/>
      </c>
      <c r="E4" s="22">
        <f>IF(MONTH(DATE(Setup!$C$4,9,3))=9,DATE(Setup!$C$4,9,3),"")</f>
        <v/>
      </c>
      <c r="F4" s="22">
        <f>IF(MONTH(DATE(Setup!$C$4,9,4))=9,DATE(Setup!$C$4,9,4),"")</f>
        <v/>
      </c>
      <c r="G4" s="22">
        <f>IF(MONTH(DATE(Setup!$C$4,9,5))=9,DATE(Setup!$C$4,9,5),"")</f>
        <v/>
      </c>
      <c r="H4" s="22">
        <f>IF(MONTH(DATE(Setup!$C$4,9,6))=9,DATE(Setup!$C$4,9,6),"")</f>
        <v/>
      </c>
      <c r="I4" s="22">
        <f>IF(MONTH(DATE(Setup!$C$4,9,7))=9,DATE(Setup!$C$4,9,7),"")</f>
        <v/>
      </c>
      <c r="J4" s="22">
        <f>IF(MONTH(DATE(Setup!$C$4,9,8))=9,DATE(Setup!$C$4,9,8),"")</f>
        <v/>
      </c>
      <c r="K4" s="22">
        <f>IF(MONTH(DATE(Setup!$C$4,9,9))=9,DATE(Setup!$C$4,9,9),"")</f>
        <v/>
      </c>
      <c r="L4" s="22">
        <f>IF(MONTH(DATE(Setup!$C$4,9,10))=9,DATE(Setup!$C$4,9,10),"")</f>
        <v/>
      </c>
      <c r="M4" s="22">
        <f>IF(MONTH(DATE(Setup!$C$4,9,11))=9,DATE(Setup!$C$4,9,11),"")</f>
        <v/>
      </c>
      <c r="N4" s="22">
        <f>IF(MONTH(DATE(Setup!$C$4,9,12))=9,DATE(Setup!$C$4,9,12),"")</f>
        <v/>
      </c>
      <c r="O4" s="22">
        <f>IF(MONTH(DATE(Setup!$C$4,9,13))=9,DATE(Setup!$C$4,9,13),"")</f>
        <v/>
      </c>
      <c r="P4" s="22">
        <f>IF(MONTH(DATE(Setup!$C$4,9,14))=9,DATE(Setup!$C$4,9,14),"")</f>
        <v/>
      </c>
      <c r="Q4" s="22">
        <f>IF(MONTH(DATE(Setup!$C$4,9,15))=9,DATE(Setup!$C$4,9,15),"")</f>
        <v/>
      </c>
      <c r="R4" s="22">
        <f>IF(MONTH(DATE(Setup!$C$4,9,16))=9,DATE(Setup!$C$4,9,16),"")</f>
        <v/>
      </c>
      <c r="S4" s="22">
        <f>IF(MONTH(DATE(Setup!$C$4,9,17))=9,DATE(Setup!$C$4,9,17),"")</f>
        <v/>
      </c>
      <c r="T4" s="22">
        <f>IF(MONTH(DATE(Setup!$C$4,9,18))=9,DATE(Setup!$C$4,9,18),"")</f>
        <v/>
      </c>
      <c r="U4" s="22">
        <f>IF(MONTH(DATE(Setup!$C$4,9,19))=9,DATE(Setup!$C$4,9,19),"")</f>
        <v/>
      </c>
      <c r="V4" s="22">
        <f>IF(MONTH(DATE(Setup!$C$4,9,20))=9,DATE(Setup!$C$4,9,20),"")</f>
        <v/>
      </c>
      <c r="W4" s="22">
        <f>IF(MONTH(DATE(Setup!$C$4,9,21))=9,DATE(Setup!$C$4,9,21),"")</f>
        <v/>
      </c>
      <c r="X4" s="22">
        <f>IF(MONTH(DATE(Setup!$C$4,9,22))=9,DATE(Setup!$C$4,9,22),"")</f>
        <v/>
      </c>
      <c r="Y4" s="22">
        <f>IF(MONTH(DATE(Setup!$C$4,9,23))=9,DATE(Setup!$C$4,9,23),"")</f>
        <v/>
      </c>
      <c r="Z4" s="22">
        <f>IF(MONTH(DATE(Setup!$C$4,9,24))=9,DATE(Setup!$C$4,9,24),"")</f>
        <v/>
      </c>
      <c r="AA4" s="22">
        <f>IF(MONTH(DATE(Setup!$C$4,9,25))=9,DATE(Setup!$C$4,9,25),"")</f>
        <v/>
      </c>
      <c r="AB4" s="22">
        <f>IF(MONTH(DATE(Setup!$C$4,9,26))=9,DATE(Setup!$C$4,9,26),"")</f>
        <v/>
      </c>
      <c r="AC4" s="22">
        <f>IF(MONTH(DATE(Setup!$C$4,9,27))=9,DATE(Setup!$C$4,9,27),"")</f>
        <v/>
      </c>
      <c r="AD4" s="22">
        <f>IF(MONTH(DATE(Setup!$C$4,9,28))=9,DATE(Setup!$C$4,9,28),"")</f>
        <v/>
      </c>
      <c r="AE4" s="22">
        <f>IF(MONTH(DATE(Setup!$C$4,9,29))=9,DATE(Setup!$C$4,9,29),"")</f>
        <v/>
      </c>
      <c r="AF4" s="22">
        <f>IF(MONTH(DATE(Setup!$C$4,9,30))=9,DATE(Setup!$C$4,9,30),"")</f>
        <v/>
      </c>
      <c r="AG4" s="22">
        <f>IF(MONTH(DATE(Setup!$C$4,9,31))=9,DATE(Setup!$C$4,9,31),"")</f>
        <v/>
      </c>
      <c r="AH4" s="23" t="inlineStr">
        <is>
          <t>Done</t>
        </is>
      </c>
      <c r="AI4" s="23" t="inlineStr">
        <is>
          <t>Goal</t>
        </is>
      </c>
      <c r="AJ4" s="23" t="inlineStr">
        <is>
          <t>Rate</t>
        </is>
      </c>
      <c r="AK4" s="23" t="inlineStr">
        <is>
          <t>vs goal</t>
        </is>
      </c>
    </row>
    <row r="5">
      <c r="B5" s="24" t="n"/>
      <c r="C5" s="25">
        <f>IF(C4="","",MID("SMTWTFS",WEEKDAY(C4),1))</f>
        <v/>
      </c>
      <c r="D5" s="25">
        <f>IF(D4="","",MID("SMTWTFS",WEEKDAY(D4),1))</f>
        <v/>
      </c>
      <c r="E5" s="25">
        <f>IF(E4="","",MID("SMTWTFS",WEEKDAY(E4),1))</f>
        <v/>
      </c>
      <c r="F5" s="25">
        <f>IF(F4="","",MID("SMTWTFS",WEEKDAY(F4),1))</f>
        <v/>
      </c>
      <c r="G5" s="25">
        <f>IF(G4="","",MID("SMTWTFS",WEEKDAY(G4),1))</f>
        <v/>
      </c>
      <c r="H5" s="25">
        <f>IF(H4="","",MID("SMTWTFS",WEEKDAY(H4),1))</f>
        <v/>
      </c>
      <c r="I5" s="25">
        <f>IF(I4="","",MID("SMTWTFS",WEEKDAY(I4),1))</f>
        <v/>
      </c>
      <c r="J5" s="25">
        <f>IF(J4="","",MID("SMTWTFS",WEEKDAY(J4),1))</f>
        <v/>
      </c>
      <c r="K5" s="25">
        <f>IF(K4="","",MID("SMTWTFS",WEEKDAY(K4),1))</f>
        <v/>
      </c>
      <c r="L5" s="25">
        <f>IF(L4="","",MID("SMTWTFS",WEEKDAY(L4),1))</f>
        <v/>
      </c>
      <c r="M5" s="25">
        <f>IF(M4="","",MID("SMTWTFS",WEEKDAY(M4),1))</f>
        <v/>
      </c>
      <c r="N5" s="25">
        <f>IF(N4="","",MID("SMTWTFS",WEEKDAY(N4),1))</f>
        <v/>
      </c>
      <c r="O5" s="25">
        <f>IF(O4="","",MID("SMTWTFS",WEEKDAY(O4),1))</f>
        <v/>
      </c>
      <c r="P5" s="25">
        <f>IF(P4="","",MID("SMTWTFS",WEEKDAY(P4),1))</f>
        <v/>
      </c>
      <c r="Q5" s="25">
        <f>IF(Q4="","",MID("SMTWTFS",WEEKDAY(Q4),1))</f>
        <v/>
      </c>
      <c r="R5" s="25">
        <f>IF(R4="","",MID("SMTWTFS",WEEKDAY(R4),1))</f>
        <v/>
      </c>
      <c r="S5" s="25">
        <f>IF(S4="","",MID("SMTWTFS",WEEKDAY(S4),1))</f>
        <v/>
      </c>
      <c r="T5" s="25">
        <f>IF(T4="","",MID("SMTWTFS",WEEKDAY(T4),1))</f>
        <v/>
      </c>
      <c r="U5" s="25">
        <f>IF(U4="","",MID("SMTWTFS",WEEKDAY(U4),1))</f>
        <v/>
      </c>
      <c r="V5" s="25">
        <f>IF(V4="","",MID("SMTWTFS",WEEKDAY(V4),1))</f>
        <v/>
      </c>
      <c r="W5" s="25">
        <f>IF(W4="","",MID("SMTWTFS",WEEKDAY(W4),1))</f>
        <v/>
      </c>
      <c r="X5" s="25">
        <f>IF(X4="","",MID("SMTWTFS",WEEKDAY(X4),1))</f>
        <v/>
      </c>
      <c r="Y5" s="25">
        <f>IF(Y4="","",MID("SMTWTFS",WEEKDAY(Y4),1))</f>
        <v/>
      </c>
      <c r="Z5" s="25">
        <f>IF(Z4="","",MID("SMTWTFS",WEEKDAY(Z4),1))</f>
        <v/>
      </c>
      <c r="AA5" s="25">
        <f>IF(AA4="","",MID("SMTWTFS",WEEKDAY(AA4),1))</f>
        <v/>
      </c>
      <c r="AB5" s="25">
        <f>IF(AB4="","",MID("SMTWTFS",WEEKDAY(AB4),1))</f>
        <v/>
      </c>
      <c r="AC5" s="25">
        <f>IF(AC4="","",MID("SMTWTFS",WEEKDAY(AC4),1))</f>
        <v/>
      </c>
      <c r="AD5" s="25">
        <f>IF(AD4="","",MID("SMTWTFS",WEEKDAY(AD4),1))</f>
        <v/>
      </c>
      <c r="AE5" s="25">
        <f>IF(AE4="","",MID("SMTWTFS",WEEKDAY(AE4),1))</f>
        <v/>
      </c>
      <c r="AF5" s="25">
        <f>IF(AF4="","",MID("SMTWTFS",WEEKDAY(AF4),1))</f>
        <v/>
      </c>
      <c r="AG5" s="25">
        <f>IF(AG4="","",MID("SMTWTFS",WEEKDAY(AG4),1))</f>
        <v/>
      </c>
      <c r="AH5" s="26" t="n"/>
      <c r="AI5" s="26" t="n"/>
      <c r="AJ5" s="26" t="n"/>
      <c r="AK5" s="26" t="n"/>
    </row>
    <row r="6" ht="20" customHeight="1">
      <c r="B6" s="18">
        <f>IF(Setup!B7="","",Setup!B7)</f>
        <v/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8">
        <f>IF(B6="","",COUNTIF(C6:AG6,"✓")+COUNTIF(C6:AG6,"x"))</f>
        <v/>
      </c>
      <c r="AI6" s="28">
        <f>IF(OR(B6="",Setup!C7=""),"",MIN(Setup!C7,COUNT($C$4:$AG$4)))</f>
        <v/>
      </c>
      <c r="AJ6" s="29">
        <f>IF(B6="","",AH6/COUNT($C$4:$AG$4))</f>
        <v/>
      </c>
      <c r="AK6" s="29">
        <f>IF(OR(B6="",N(AI6)=0),"",MIN(1,AH6/AI6))</f>
        <v/>
      </c>
    </row>
    <row r="7" ht="20" customHeight="1">
      <c r="B7" s="18">
        <f>IF(Setup!B8="","",Setup!B8)</f>
        <v/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8">
        <f>IF(B7="","",COUNTIF(C7:AG7,"✓")+COUNTIF(C7:AG7,"x"))</f>
        <v/>
      </c>
      <c r="AI7" s="28">
        <f>IF(OR(B7="",Setup!C8=""),"",MIN(Setup!C8,COUNT($C$4:$AG$4)))</f>
        <v/>
      </c>
      <c r="AJ7" s="29">
        <f>IF(B7="","",AH7/COUNT($C$4:$AG$4))</f>
        <v/>
      </c>
      <c r="AK7" s="29">
        <f>IF(OR(B7="",N(AI7)=0),"",MIN(1,AH7/AI7))</f>
        <v/>
      </c>
    </row>
    <row r="8" ht="20" customHeight="1">
      <c r="B8" s="18">
        <f>IF(Setup!B9="","",Setup!B9)</f>
        <v/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8">
        <f>IF(B8="","",COUNTIF(C8:AG8,"✓")+COUNTIF(C8:AG8,"x"))</f>
        <v/>
      </c>
      <c r="AI8" s="28">
        <f>IF(OR(B8="",Setup!C9=""),"",MIN(Setup!C9,COUNT($C$4:$AG$4)))</f>
        <v/>
      </c>
      <c r="AJ8" s="29">
        <f>IF(B8="","",AH8/COUNT($C$4:$AG$4))</f>
        <v/>
      </c>
      <c r="AK8" s="29">
        <f>IF(OR(B8="",N(AI8)=0),"",MIN(1,AH8/AI8))</f>
        <v/>
      </c>
    </row>
    <row r="9" ht="20" customHeight="1">
      <c r="B9" s="18">
        <f>IF(Setup!B10="","",Setup!B10)</f>
        <v/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8">
        <f>IF(B9="","",COUNTIF(C9:AG9,"✓")+COUNTIF(C9:AG9,"x"))</f>
        <v/>
      </c>
      <c r="AI9" s="28">
        <f>IF(OR(B9="",Setup!C10=""),"",MIN(Setup!C10,COUNT($C$4:$AG$4)))</f>
        <v/>
      </c>
      <c r="AJ9" s="29">
        <f>IF(B9="","",AH9/COUNT($C$4:$AG$4))</f>
        <v/>
      </c>
      <c r="AK9" s="29">
        <f>IF(OR(B9="",N(AI9)=0),"",MIN(1,AH9/AI9))</f>
        <v/>
      </c>
    </row>
    <row r="10" ht="20" customHeight="1">
      <c r="B10" s="18">
        <f>IF(Setup!B11="","",Setup!B11)</f>
        <v/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8">
        <f>IF(B10="","",COUNTIF(C10:AG10,"✓")+COUNTIF(C10:AG10,"x"))</f>
        <v/>
      </c>
      <c r="AI10" s="28">
        <f>IF(OR(B10="",Setup!C11=""),"",MIN(Setup!C11,COUNT($C$4:$AG$4)))</f>
        <v/>
      </c>
      <c r="AJ10" s="29">
        <f>IF(B10="","",AH10/COUNT($C$4:$AG$4))</f>
        <v/>
      </c>
      <c r="AK10" s="29">
        <f>IF(OR(B10="",N(AI10)=0),"",MIN(1,AH10/AI10))</f>
        <v/>
      </c>
    </row>
    <row r="11" ht="20" customHeight="1">
      <c r="B11" s="18">
        <f>IF(Setup!B12="","",Setup!B12)</f>
        <v/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8">
        <f>IF(B11="","",COUNTIF(C11:AG11,"✓")+COUNTIF(C11:AG11,"x"))</f>
        <v/>
      </c>
      <c r="AI11" s="28">
        <f>IF(OR(B11="",Setup!C12=""),"",MIN(Setup!C12,COUNT($C$4:$AG$4)))</f>
        <v/>
      </c>
      <c r="AJ11" s="29">
        <f>IF(B11="","",AH11/COUNT($C$4:$AG$4))</f>
        <v/>
      </c>
      <c r="AK11" s="29">
        <f>IF(OR(B11="",N(AI11)=0),"",MIN(1,AH11/AI11))</f>
        <v/>
      </c>
    </row>
    <row r="12" ht="20" customHeight="1">
      <c r="B12" s="18">
        <f>IF(Setup!B13="","",Setup!B13)</f>
        <v/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8">
        <f>IF(B12="","",COUNTIF(C12:AG12,"✓")+COUNTIF(C12:AG12,"x"))</f>
        <v/>
      </c>
      <c r="AI12" s="28">
        <f>IF(OR(B12="",Setup!C13=""),"",MIN(Setup!C13,COUNT($C$4:$AG$4)))</f>
        <v/>
      </c>
      <c r="AJ12" s="29">
        <f>IF(B12="","",AH12/COUNT($C$4:$AG$4))</f>
        <v/>
      </c>
      <c r="AK12" s="29">
        <f>IF(OR(B12="",N(AI12)=0),"",MIN(1,AH12/AI12))</f>
        <v/>
      </c>
    </row>
    <row r="13" ht="20" customHeight="1">
      <c r="B13" s="18">
        <f>IF(Setup!B14="","",Setup!B14)</f>
        <v/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8">
        <f>IF(B13="","",COUNTIF(C13:AG13,"✓")+COUNTIF(C13:AG13,"x"))</f>
        <v/>
      </c>
      <c r="AI13" s="28">
        <f>IF(OR(B13="",Setup!C14=""),"",MIN(Setup!C14,COUNT($C$4:$AG$4)))</f>
        <v/>
      </c>
      <c r="AJ13" s="29">
        <f>IF(B13="","",AH13/COUNT($C$4:$AG$4))</f>
        <v/>
      </c>
      <c r="AK13" s="29">
        <f>IF(OR(B13="",N(AI13)=0),"",MIN(1,AH13/AI13))</f>
        <v/>
      </c>
    </row>
    <row r="14" ht="20" customHeight="1">
      <c r="B14" s="18">
        <f>IF(Setup!B15="","",Setup!B15)</f>
        <v/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8">
        <f>IF(B14="","",COUNTIF(C14:AG14,"✓")+COUNTIF(C14:AG14,"x"))</f>
        <v/>
      </c>
      <c r="AI14" s="28">
        <f>IF(OR(B14="",Setup!C15=""),"",MIN(Setup!C15,COUNT($C$4:$AG$4)))</f>
        <v/>
      </c>
      <c r="AJ14" s="29">
        <f>IF(B14="","",AH14/COUNT($C$4:$AG$4))</f>
        <v/>
      </c>
      <c r="AK14" s="29">
        <f>IF(OR(B14="",N(AI14)=0),"",MIN(1,AH14/AI14))</f>
        <v/>
      </c>
    </row>
    <row r="15" ht="20" customHeight="1">
      <c r="B15" s="18">
        <f>IF(Setup!B16="","",Setup!B16)</f>
        <v/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8">
        <f>IF(B15="","",COUNTIF(C15:AG15,"✓")+COUNTIF(C15:AG15,"x"))</f>
        <v/>
      </c>
      <c r="AI15" s="28">
        <f>IF(OR(B15="",Setup!C16=""),"",MIN(Setup!C16,COUNT($C$4:$AG$4)))</f>
        <v/>
      </c>
      <c r="AJ15" s="29">
        <f>IF(B15="","",AH15/COUNT($C$4:$AG$4))</f>
        <v/>
      </c>
      <c r="AK15" s="29">
        <f>IF(OR(B15="",N(AI15)=0),"",MIN(1,AH15/AI15))</f>
        <v/>
      </c>
    </row>
    <row r="16" ht="20" customHeight="1">
      <c r="B16" s="18">
        <f>IF(Setup!B17="","",Setup!B17)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8">
        <f>IF(B16="","",COUNTIF(C16:AG16,"✓")+COUNTIF(C16:AG16,"x"))</f>
        <v/>
      </c>
      <c r="AI16" s="28">
        <f>IF(OR(B16="",Setup!C17=""),"",MIN(Setup!C17,COUNT($C$4:$AG$4)))</f>
        <v/>
      </c>
      <c r="AJ16" s="29">
        <f>IF(B16="","",AH16/COUNT($C$4:$AG$4))</f>
        <v/>
      </c>
      <c r="AK16" s="29">
        <f>IF(OR(B16="",N(AI16)=0),"",MIN(1,AH16/AI16))</f>
        <v/>
      </c>
    </row>
    <row r="17" ht="20" customHeight="1">
      <c r="B17" s="18">
        <f>IF(Setup!B18="","",Setup!B18)</f>
        <v/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8">
        <f>IF(B17="","",COUNTIF(C17:AG17,"✓")+COUNTIF(C17:AG17,"x"))</f>
        <v/>
      </c>
      <c r="AI17" s="28">
        <f>IF(OR(B17="",Setup!C18=""),"",MIN(Setup!C18,COUNT($C$4:$AG$4)))</f>
        <v/>
      </c>
      <c r="AJ17" s="29">
        <f>IF(B17="","",AH17/COUNT($C$4:$AG$4))</f>
        <v/>
      </c>
      <c r="AK17" s="29">
        <f>IF(OR(B17="",N(AI17)=0),"",MIN(1,AH17/AI17))</f>
        <v/>
      </c>
    </row>
    <row r="18" ht="20" customHeight="1">
      <c r="B18" s="18">
        <f>IF(Setup!B19="","",Setup!B19)</f>
        <v/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8">
        <f>IF(B18="","",COUNTIF(C18:AG18,"✓")+COUNTIF(C18:AG18,"x"))</f>
        <v/>
      </c>
      <c r="AI18" s="28">
        <f>IF(OR(B18="",Setup!C19=""),"",MIN(Setup!C19,COUNT($C$4:$AG$4)))</f>
        <v/>
      </c>
      <c r="AJ18" s="29">
        <f>IF(B18="","",AH18/COUNT($C$4:$AG$4))</f>
        <v/>
      </c>
      <c r="AK18" s="29">
        <f>IF(OR(B18="",N(AI18)=0),"",MIN(1,AH18/AI18))</f>
        <v/>
      </c>
    </row>
    <row r="19" ht="20" customHeight="1">
      <c r="B19" s="18">
        <f>IF(Setup!B20="","",Setup!B20)</f>
        <v/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8">
        <f>IF(B19="","",COUNTIF(C19:AG19,"✓")+COUNTIF(C19:AG19,"x"))</f>
        <v/>
      </c>
      <c r="AI19" s="28">
        <f>IF(OR(B19="",Setup!C20=""),"",MIN(Setup!C20,COUNT($C$4:$AG$4)))</f>
        <v/>
      </c>
      <c r="AJ19" s="29">
        <f>IF(B19="","",AH19/COUNT($C$4:$AG$4))</f>
        <v/>
      </c>
      <c r="AK19" s="29">
        <f>IF(OR(B19="",N(AI19)=0),"",MIN(1,AH19/AI19))</f>
        <v/>
      </c>
    </row>
    <row r="20" ht="20" customHeight="1">
      <c r="B20" s="18">
        <f>IF(Setup!B21="","",Setup!B21)</f>
        <v/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8">
        <f>IF(B20="","",COUNTIF(C20:AG20,"✓")+COUNTIF(C20:AG20,"x"))</f>
        <v/>
      </c>
      <c r="AI20" s="28">
        <f>IF(OR(B20="",Setup!C21=""),"",MIN(Setup!C21,COUNT($C$4:$AG$4)))</f>
        <v/>
      </c>
      <c r="AJ20" s="29">
        <f>IF(B20="","",AH20/COUNT($C$4:$AG$4))</f>
        <v/>
      </c>
      <c r="AK20" s="29">
        <f>IF(OR(B20="",N(AI20)=0),"",MIN(1,AH20/AI20))</f>
        <v/>
      </c>
    </row>
    <row r="21">
      <c r="B21" s="30" t="inlineStr">
        <is>
          <t>Day complete</t>
        </is>
      </c>
      <c r="C21" s="31">
        <f>IF(OR(C4="",COUNTIF($B$6:$B$20,"?*")=0),"",(COUNTIF(C6:C20,"✓")+COUNTIF(C6:C20,"x"))/COUNTIF($B$6:$B$20,"?*"))</f>
        <v/>
      </c>
      <c r="D21" s="31">
        <f>IF(OR(D4="",COUNTIF($B$6:$B$20,"?*")=0),"",(COUNTIF(D6:D20,"✓")+COUNTIF(D6:D20,"x"))/COUNTIF($B$6:$B$20,"?*"))</f>
        <v/>
      </c>
      <c r="E21" s="31">
        <f>IF(OR(E4="",COUNTIF($B$6:$B$20,"?*")=0),"",(COUNTIF(E6:E20,"✓")+COUNTIF(E6:E20,"x"))/COUNTIF($B$6:$B$20,"?*"))</f>
        <v/>
      </c>
      <c r="F21" s="31">
        <f>IF(OR(F4="",COUNTIF($B$6:$B$20,"?*")=0),"",(COUNTIF(F6:F20,"✓")+COUNTIF(F6:F20,"x"))/COUNTIF($B$6:$B$20,"?*"))</f>
        <v/>
      </c>
      <c r="G21" s="31">
        <f>IF(OR(G4="",COUNTIF($B$6:$B$20,"?*")=0),"",(COUNTIF(G6:G20,"✓")+COUNTIF(G6:G20,"x"))/COUNTIF($B$6:$B$20,"?*"))</f>
        <v/>
      </c>
      <c r="H21" s="31">
        <f>IF(OR(H4="",COUNTIF($B$6:$B$20,"?*")=0),"",(COUNTIF(H6:H20,"✓")+COUNTIF(H6:H20,"x"))/COUNTIF($B$6:$B$20,"?*"))</f>
        <v/>
      </c>
      <c r="I21" s="31">
        <f>IF(OR(I4="",COUNTIF($B$6:$B$20,"?*")=0),"",(COUNTIF(I6:I20,"✓")+COUNTIF(I6:I20,"x"))/COUNTIF($B$6:$B$20,"?*"))</f>
        <v/>
      </c>
      <c r="J21" s="31">
        <f>IF(OR(J4="",COUNTIF($B$6:$B$20,"?*")=0),"",(COUNTIF(J6:J20,"✓")+COUNTIF(J6:J20,"x"))/COUNTIF($B$6:$B$20,"?*"))</f>
        <v/>
      </c>
      <c r="K21" s="31">
        <f>IF(OR(K4="",COUNTIF($B$6:$B$20,"?*")=0),"",(COUNTIF(K6:K20,"✓")+COUNTIF(K6:K20,"x"))/COUNTIF($B$6:$B$20,"?*"))</f>
        <v/>
      </c>
      <c r="L21" s="31">
        <f>IF(OR(L4="",COUNTIF($B$6:$B$20,"?*")=0),"",(COUNTIF(L6:L20,"✓")+COUNTIF(L6:L20,"x"))/COUNTIF($B$6:$B$20,"?*"))</f>
        <v/>
      </c>
      <c r="M21" s="31">
        <f>IF(OR(M4="",COUNTIF($B$6:$B$20,"?*")=0),"",(COUNTIF(M6:M20,"✓")+COUNTIF(M6:M20,"x"))/COUNTIF($B$6:$B$20,"?*"))</f>
        <v/>
      </c>
      <c r="N21" s="31">
        <f>IF(OR(N4="",COUNTIF($B$6:$B$20,"?*")=0),"",(COUNTIF(N6:N20,"✓")+COUNTIF(N6:N20,"x"))/COUNTIF($B$6:$B$20,"?*"))</f>
        <v/>
      </c>
      <c r="O21" s="31">
        <f>IF(OR(O4="",COUNTIF($B$6:$B$20,"?*")=0),"",(COUNTIF(O6:O20,"✓")+COUNTIF(O6:O20,"x"))/COUNTIF($B$6:$B$20,"?*"))</f>
        <v/>
      </c>
      <c r="P21" s="31">
        <f>IF(OR(P4="",COUNTIF($B$6:$B$20,"?*")=0),"",(COUNTIF(P6:P20,"✓")+COUNTIF(P6:P20,"x"))/COUNTIF($B$6:$B$20,"?*"))</f>
        <v/>
      </c>
      <c r="Q21" s="31">
        <f>IF(OR(Q4="",COUNTIF($B$6:$B$20,"?*")=0),"",(COUNTIF(Q6:Q20,"✓")+COUNTIF(Q6:Q20,"x"))/COUNTIF($B$6:$B$20,"?*"))</f>
        <v/>
      </c>
      <c r="R21" s="31">
        <f>IF(OR(R4="",COUNTIF($B$6:$B$20,"?*")=0),"",(COUNTIF(R6:R20,"✓")+COUNTIF(R6:R20,"x"))/COUNTIF($B$6:$B$20,"?*"))</f>
        <v/>
      </c>
      <c r="S21" s="31">
        <f>IF(OR(S4="",COUNTIF($B$6:$B$20,"?*")=0),"",(COUNTIF(S6:S20,"✓")+COUNTIF(S6:S20,"x"))/COUNTIF($B$6:$B$20,"?*"))</f>
        <v/>
      </c>
      <c r="T21" s="31">
        <f>IF(OR(T4="",COUNTIF($B$6:$B$20,"?*")=0),"",(COUNTIF(T6:T20,"✓")+COUNTIF(T6:T20,"x"))/COUNTIF($B$6:$B$20,"?*"))</f>
        <v/>
      </c>
      <c r="U21" s="31">
        <f>IF(OR(U4="",COUNTIF($B$6:$B$20,"?*")=0),"",(COUNTIF(U6:U20,"✓")+COUNTIF(U6:U20,"x"))/COUNTIF($B$6:$B$20,"?*"))</f>
        <v/>
      </c>
      <c r="V21" s="31">
        <f>IF(OR(V4="",COUNTIF($B$6:$B$20,"?*")=0),"",(COUNTIF(V6:V20,"✓")+COUNTIF(V6:V20,"x"))/COUNTIF($B$6:$B$20,"?*"))</f>
        <v/>
      </c>
      <c r="W21" s="31">
        <f>IF(OR(W4="",COUNTIF($B$6:$B$20,"?*")=0),"",(COUNTIF(W6:W20,"✓")+COUNTIF(W6:W20,"x"))/COUNTIF($B$6:$B$20,"?*"))</f>
        <v/>
      </c>
      <c r="X21" s="31">
        <f>IF(OR(X4="",COUNTIF($B$6:$B$20,"?*")=0),"",(COUNTIF(X6:X20,"✓")+COUNTIF(X6:X20,"x"))/COUNTIF($B$6:$B$20,"?*"))</f>
        <v/>
      </c>
      <c r="Y21" s="31">
        <f>IF(OR(Y4="",COUNTIF($B$6:$B$20,"?*")=0),"",(COUNTIF(Y6:Y20,"✓")+COUNTIF(Y6:Y20,"x"))/COUNTIF($B$6:$B$20,"?*"))</f>
        <v/>
      </c>
      <c r="Z21" s="31">
        <f>IF(OR(Z4="",COUNTIF($B$6:$B$20,"?*")=0),"",(COUNTIF(Z6:Z20,"✓")+COUNTIF(Z6:Z20,"x"))/COUNTIF($B$6:$B$20,"?*"))</f>
        <v/>
      </c>
      <c r="AA21" s="31">
        <f>IF(OR(AA4="",COUNTIF($B$6:$B$20,"?*")=0),"",(COUNTIF(AA6:AA20,"✓")+COUNTIF(AA6:AA20,"x"))/COUNTIF($B$6:$B$20,"?*"))</f>
        <v/>
      </c>
      <c r="AB21" s="31">
        <f>IF(OR(AB4="",COUNTIF($B$6:$B$20,"?*")=0),"",(COUNTIF(AB6:AB20,"✓")+COUNTIF(AB6:AB20,"x"))/COUNTIF($B$6:$B$20,"?*"))</f>
        <v/>
      </c>
      <c r="AC21" s="31">
        <f>IF(OR(AC4="",COUNTIF($B$6:$B$20,"?*")=0),"",(COUNTIF(AC6:AC20,"✓")+COUNTIF(AC6:AC20,"x"))/COUNTIF($B$6:$B$20,"?*"))</f>
        <v/>
      </c>
      <c r="AD21" s="31">
        <f>IF(OR(AD4="",COUNTIF($B$6:$B$20,"?*")=0),"",(COUNTIF(AD6:AD20,"✓")+COUNTIF(AD6:AD20,"x"))/COUNTIF($B$6:$B$20,"?*"))</f>
        <v/>
      </c>
      <c r="AE21" s="31">
        <f>IF(OR(AE4="",COUNTIF($B$6:$B$20,"?*")=0),"",(COUNTIF(AE6:AE20,"✓")+COUNTIF(AE6:AE20,"x"))/COUNTIF($B$6:$B$20,"?*"))</f>
        <v/>
      </c>
      <c r="AF21" s="31">
        <f>IF(OR(AF4="",COUNTIF($B$6:$B$20,"?*")=0),"",(COUNTIF(AF6:AF20,"✓")+COUNTIF(AF6:AF20,"x"))/COUNTIF($B$6:$B$20,"?*"))</f>
        <v/>
      </c>
      <c r="AG21" s="31">
        <f>IF(OR(AG4="",COUNTIF($B$6:$B$20,"?*")=0),"",(COUNTIF(AG6:AG20,"✓")+COUNTIF(AG6:AG20,"x"))/COUNTIF($B$6:$B$20,"?*"))</f>
        <v/>
      </c>
      <c r="AJ21" s="32">
        <f>IFERROR(AVERAGE(AJ6:AJ20),"")</f>
        <v/>
      </c>
    </row>
  </sheetData>
  <conditionalFormatting sqref="C6:AG20">
    <cfRule type="expression" priority="1" dxfId="0">
      <formula>C$4=""</formula>
    </cfRule>
    <cfRule type="expression" priority="2" dxfId="1">
      <formula>OR(C6="✓",C6="x")</formula>
    </cfRule>
  </conditionalFormatting>
  <conditionalFormatting sqref="C4:AG5">
    <cfRule type="expression" priority="3" dxfId="1">
      <formula>C$4=TODAY()</formula>
    </cfRule>
  </conditionalFormatting>
  <conditionalFormatting sqref="C21:AG21">
    <cfRule type="colorScale" priority="4">
      <colorScale>
        <cfvo type="num" val="0"/>
        <cfvo type="num" val="1"/>
        <color rgb="00FFFFFF"/>
        <color rgb="0034D399"/>
      </colorScale>
    </cfRule>
  </conditionalFormatting>
  <conditionalFormatting sqref="AK6:AK20">
    <cfRule type="dataBar" priority="5">
      <dataBar>
        <cfvo type="num" val="0"/>
        <cfvo type="num" val="1"/>
        <color rgb="0034D399"/>
      </dataBar>
    </cfRule>
  </conditionalFormatting>
  <dataValidations count="1">
    <dataValidation sqref="C6:AG20" showDropDown="0" showInputMessage="0" showErrorMessage="0" allowBlank="1" error="Use ✓ or x to mark a habit as done." type="list">
      <formula1>"✓,x"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34D399"/>
    <outlinePr summaryBelow="1" summaryRight="1"/>
    <pageSetUpPr fitToPage="1"/>
  </sheetPr>
  <dimension ref="A1:AK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8" customWidth="1" min="34" max="34"/>
    <col width="8" customWidth="1" min="35" max="35"/>
    <col width="10" customWidth="1" min="36" max="36"/>
    <col width="10" customWidth="1" min="37" max="37"/>
  </cols>
  <sheetData>
    <row r="1" ht="30" customHeight="1">
      <c r="A1" s="1">
        <f>TEXT(DATE(Setup!$C$4,10,1),"mmmm yyyy")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20" customHeight="1">
      <c r="A2" s="3" t="inlineStr">
        <is>
          <t>Mark ✓ when done  ·  علّم ✓ عند الإنجاز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4">
      <c r="B4" s="21" t="inlineStr">
        <is>
          <t>Habit</t>
        </is>
      </c>
      <c r="C4" s="22">
        <f>IF(MONTH(DATE(Setup!$C$4,10,1))=10,DATE(Setup!$C$4,10,1),"")</f>
        <v/>
      </c>
      <c r="D4" s="22">
        <f>IF(MONTH(DATE(Setup!$C$4,10,2))=10,DATE(Setup!$C$4,10,2),"")</f>
        <v/>
      </c>
      <c r="E4" s="22">
        <f>IF(MONTH(DATE(Setup!$C$4,10,3))=10,DATE(Setup!$C$4,10,3),"")</f>
        <v/>
      </c>
      <c r="F4" s="22">
        <f>IF(MONTH(DATE(Setup!$C$4,10,4))=10,DATE(Setup!$C$4,10,4),"")</f>
        <v/>
      </c>
      <c r="G4" s="22">
        <f>IF(MONTH(DATE(Setup!$C$4,10,5))=10,DATE(Setup!$C$4,10,5),"")</f>
        <v/>
      </c>
      <c r="H4" s="22">
        <f>IF(MONTH(DATE(Setup!$C$4,10,6))=10,DATE(Setup!$C$4,10,6),"")</f>
        <v/>
      </c>
      <c r="I4" s="22">
        <f>IF(MONTH(DATE(Setup!$C$4,10,7))=10,DATE(Setup!$C$4,10,7),"")</f>
        <v/>
      </c>
      <c r="J4" s="22">
        <f>IF(MONTH(DATE(Setup!$C$4,10,8))=10,DATE(Setup!$C$4,10,8),"")</f>
        <v/>
      </c>
      <c r="K4" s="22">
        <f>IF(MONTH(DATE(Setup!$C$4,10,9))=10,DATE(Setup!$C$4,10,9),"")</f>
        <v/>
      </c>
      <c r="L4" s="22">
        <f>IF(MONTH(DATE(Setup!$C$4,10,10))=10,DATE(Setup!$C$4,10,10),"")</f>
        <v/>
      </c>
      <c r="M4" s="22">
        <f>IF(MONTH(DATE(Setup!$C$4,10,11))=10,DATE(Setup!$C$4,10,11),"")</f>
        <v/>
      </c>
      <c r="N4" s="22">
        <f>IF(MONTH(DATE(Setup!$C$4,10,12))=10,DATE(Setup!$C$4,10,12),"")</f>
        <v/>
      </c>
      <c r="O4" s="22">
        <f>IF(MONTH(DATE(Setup!$C$4,10,13))=10,DATE(Setup!$C$4,10,13),"")</f>
        <v/>
      </c>
      <c r="P4" s="22">
        <f>IF(MONTH(DATE(Setup!$C$4,10,14))=10,DATE(Setup!$C$4,10,14),"")</f>
        <v/>
      </c>
      <c r="Q4" s="22">
        <f>IF(MONTH(DATE(Setup!$C$4,10,15))=10,DATE(Setup!$C$4,10,15),"")</f>
        <v/>
      </c>
      <c r="R4" s="22">
        <f>IF(MONTH(DATE(Setup!$C$4,10,16))=10,DATE(Setup!$C$4,10,16),"")</f>
        <v/>
      </c>
      <c r="S4" s="22">
        <f>IF(MONTH(DATE(Setup!$C$4,10,17))=10,DATE(Setup!$C$4,10,17),"")</f>
        <v/>
      </c>
      <c r="T4" s="22">
        <f>IF(MONTH(DATE(Setup!$C$4,10,18))=10,DATE(Setup!$C$4,10,18),"")</f>
        <v/>
      </c>
      <c r="U4" s="22">
        <f>IF(MONTH(DATE(Setup!$C$4,10,19))=10,DATE(Setup!$C$4,10,19),"")</f>
        <v/>
      </c>
      <c r="V4" s="22">
        <f>IF(MONTH(DATE(Setup!$C$4,10,20))=10,DATE(Setup!$C$4,10,20),"")</f>
        <v/>
      </c>
      <c r="W4" s="22">
        <f>IF(MONTH(DATE(Setup!$C$4,10,21))=10,DATE(Setup!$C$4,10,21),"")</f>
        <v/>
      </c>
      <c r="X4" s="22">
        <f>IF(MONTH(DATE(Setup!$C$4,10,22))=10,DATE(Setup!$C$4,10,22),"")</f>
        <v/>
      </c>
      <c r="Y4" s="22">
        <f>IF(MONTH(DATE(Setup!$C$4,10,23))=10,DATE(Setup!$C$4,10,23),"")</f>
        <v/>
      </c>
      <c r="Z4" s="22">
        <f>IF(MONTH(DATE(Setup!$C$4,10,24))=10,DATE(Setup!$C$4,10,24),"")</f>
        <v/>
      </c>
      <c r="AA4" s="22">
        <f>IF(MONTH(DATE(Setup!$C$4,10,25))=10,DATE(Setup!$C$4,10,25),"")</f>
        <v/>
      </c>
      <c r="AB4" s="22">
        <f>IF(MONTH(DATE(Setup!$C$4,10,26))=10,DATE(Setup!$C$4,10,26),"")</f>
        <v/>
      </c>
      <c r="AC4" s="22">
        <f>IF(MONTH(DATE(Setup!$C$4,10,27))=10,DATE(Setup!$C$4,10,27),"")</f>
        <v/>
      </c>
      <c r="AD4" s="22">
        <f>IF(MONTH(DATE(Setup!$C$4,10,28))=10,DATE(Setup!$C$4,10,28),"")</f>
        <v/>
      </c>
      <c r="AE4" s="22">
        <f>IF(MONTH(DATE(Setup!$C$4,10,29))=10,DATE(Setup!$C$4,10,29),"")</f>
        <v/>
      </c>
      <c r="AF4" s="22">
        <f>IF(MONTH(DATE(Setup!$C$4,10,30))=10,DATE(Setup!$C$4,10,30),"")</f>
        <v/>
      </c>
      <c r="AG4" s="22">
        <f>IF(MONTH(DATE(Setup!$C$4,10,31))=10,DATE(Setup!$C$4,10,31),"")</f>
        <v/>
      </c>
      <c r="AH4" s="23" t="inlineStr">
        <is>
          <t>Done</t>
        </is>
      </c>
      <c r="AI4" s="23" t="inlineStr">
        <is>
          <t>Goal</t>
        </is>
      </c>
      <c r="AJ4" s="23" t="inlineStr">
        <is>
          <t>Rate</t>
        </is>
      </c>
      <c r="AK4" s="23" t="inlineStr">
        <is>
          <t>vs goal</t>
        </is>
      </c>
    </row>
    <row r="5">
      <c r="B5" s="24" t="n"/>
      <c r="C5" s="25">
        <f>IF(C4="","",MID("SMTWTFS",WEEKDAY(C4),1))</f>
        <v/>
      </c>
      <c r="D5" s="25">
        <f>IF(D4="","",MID("SMTWTFS",WEEKDAY(D4),1))</f>
        <v/>
      </c>
      <c r="E5" s="25">
        <f>IF(E4="","",MID("SMTWTFS",WEEKDAY(E4),1))</f>
        <v/>
      </c>
      <c r="F5" s="25">
        <f>IF(F4="","",MID("SMTWTFS",WEEKDAY(F4),1))</f>
        <v/>
      </c>
      <c r="G5" s="25">
        <f>IF(G4="","",MID("SMTWTFS",WEEKDAY(G4),1))</f>
        <v/>
      </c>
      <c r="H5" s="25">
        <f>IF(H4="","",MID("SMTWTFS",WEEKDAY(H4),1))</f>
        <v/>
      </c>
      <c r="I5" s="25">
        <f>IF(I4="","",MID("SMTWTFS",WEEKDAY(I4),1))</f>
        <v/>
      </c>
      <c r="J5" s="25">
        <f>IF(J4="","",MID("SMTWTFS",WEEKDAY(J4),1))</f>
        <v/>
      </c>
      <c r="K5" s="25">
        <f>IF(K4="","",MID("SMTWTFS",WEEKDAY(K4),1))</f>
        <v/>
      </c>
      <c r="L5" s="25">
        <f>IF(L4="","",MID("SMTWTFS",WEEKDAY(L4),1))</f>
        <v/>
      </c>
      <c r="M5" s="25">
        <f>IF(M4="","",MID("SMTWTFS",WEEKDAY(M4),1))</f>
        <v/>
      </c>
      <c r="N5" s="25">
        <f>IF(N4="","",MID("SMTWTFS",WEEKDAY(N4),1))</f>
        <v/>
      </c>
      <c r="O5" s="25">
        <f>IF(O4="","",MID("SMTWTFS",WEEKDAY(O4),1))</f>
        <v/>
      </c>
      <c r="P5" s="25">
        <f>IF(P4="","",MID("SMTWTFS",WEEKDAY(P4),1))</f>
        <v/>
      </c>
      <c r="Q5" s="25">
        <f>IF(Q4="","",MID("SMTWTFS",WEEKDAY(Q4),1))</f>
        <v/>
      </c>
      <c r="R5" s="25">
        <f>IF(R4="","",MID("SMTWTFS",WEEKDAY(R4),1))</f>
        <v/>
      </c>
      <c r="S5" s="25">
        <f>IF(S4="","",MID("SMTWTFS",WEEKDAY(S4),1))</f>
        <v/>
      </c>
      <c r="T5" s="25">
        <f>IF(T4="","",MID("SMTWTFS",WEEKDAY(T4),1))</f>
        <v/>
      </c>
      <c r="U5" s="25">
        <f>IF(U4="","",MID("SMTWTFS",WEEKDAY(U4),1))</f>
        <v/>
      </c>
      <c r="V5" s="25">
        <f>IF(V4="","",MID("SMTWTFS",WEEKDAY(V4),1))</f>
        <v/>
      </c>
      <c r="W5" s="25">
        <f>IF(W4="","",MID("SMTWTFS",WEEKDAY(W4),1))</f>
        <v/>
      </c>
      <c r="X5" s="25">
        <f>IF(X4="","",MID("SMTWTFS",WEEKDAY(X4),1))</f>
        <v/>
      </c>
      <c r="Y5" s="25">
        <f>IF(Y4="","",MID("SMTWTFS",WEEKDAY(Y4),1))</f>
        <v/>
      </c>
      <c r="Z5" s="25">
        <f>IF(Z4="","",MID("SMTWTFS",WEEKDAY(Z4),1))</f>
        <v/>
      </c>
      <c r="AA5" s="25">
        <f>IF(AA4="","",MID("SMTWTFS",WEEKDAY(AA4),1))</f>
        <v/>
      </c>
      <c r="AB5" s="25">
        <f>IF(AB4="","",MID("SMTWTFS",WEEKDAY(AB4),1))</f>
        <v/>
      </c>
      <c r="AC5" s="25">
        <f>IF(AC4="","",MID("SMTWTFS",WEEKDAY(AC4),1))</f>
        <v/>
      </c>
      <c r="AD5" s="25">
        <f>IF(AD4="","",MID("SMTWTFS",WEEKDAY(AD4),1))</f>
        <v/>
      </c>
      <c r="AE5" s="25">
        <f>IF(AE4="","",MID("SMTWTFS",WEEKDAY(AE4),1))</f>
        <v/>
      </c>
      <c r="AF5" s="25">
        <f>IF(AF4="","",MID("SMTWTFS",WEEKDAY(AF4),1))</f>
        <v/>
      </c>
      <c r="AG5" s="25">
        <f>IF(AG4="","",MID("SMTWTFS",WEEKDAY(AG4),1))</f>
        <v/>
      </c>
      <c r="AH5" s="26" t="n"/>
      <c r="AI5" s="26" t="n"/>
      <c r="AJ5" s="26" t="n"/>
      <c r="AK5" s="26" t="n"/>
    </row>
    <row r="6" ht="20" customHeight="1">
      <c r="B6" s="18">
        <f>IF(Setup!B7="","",Setup!B7)</f>
        <v/>
      </c>
      <c r="C6" s="27" t="inlineStr">
        <is>
          <t>✓</t>
        </is>
      </c>
      <c r="D6" s="27" t="inlineStr">
        <is>
          <t>✓</t>
        </is>
      </c>
      <c r="E6" s="27" t="n"/>
      <c r="F6" s="27" t="inlineStr">
        <is>
          <t>✓</t>
        </is>
      </c>
      <c r="G6" s="27" t="inlineStr">
        <is>
          <t>✓</t>
        </is>
      </c>
      <c r="H6" s="27" t="inlineStr">
        <is>
          <t>✓</t>
        </is>
      </c>
      <c r="I6" s="27" t="inlineStr">
        <is>
          <t>✓</t>
        </is>
      </c>
      <c r="J6" s="27" t="n"/>
      <c r="K6" s="27" t="inlineStr">
        <is>
          <t>✓</t>
        </is>
      </c>
      <c r="L6" s="27" t="inlineStr">
        <is>
          <t>✓</t>
        </is>
      </c>
      <c r="M6" s="27" t="inlineStr">
        <is>
          <t>✓</t>
        </is>
      </c>
      <c r="N6" s="27" t="inlineStr">
        <is>
          <t>✓</t>
        </is>
      </c>
      <c r="O6" s="27" t="n"/>
      <c r="P6" s="27" t="inlineStr">
        <is>
          <t>✓</t>
        </is>
      </c>
      <c r="Q6" s="27" t="inlineStr">
        <is>
          <t>✓</t>
        </is>
      </c>
      <c r="R6" s="27" t="inlineStr">
        <is>
          <t>✓</t>
        </is>
      </c>
      <c r="S6" s="27" t="inlineStr">
        <is>
          <t>✓</t>
        </is>
      </c>
      <c r="T6" s="27" t="inlineStr">
        <is>
          <t>✓</t>
        </is>
      </c>
      <c r="U6" s="27" t="inlineStr">
        <is>
          <t>✓</t>
        </is>
      </c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8">
        <f>IF(B6="","",COUNTIF(C6:AG6,"✓")+COUNTIF(C6:AG6,"x"))</f>
        <v/>
      </c>
      <c r="AI6" s="28">
        <f>IF(OR(B6="",Setup!C7=""),"",MIN(Setup!C7,COUNT($C$4:$AG$4)))</f>
        <v/>
      </c>
      <c r="AJ6" s="29">
        <f>IF(B6="","",AH6/COUNT($C$4:$AG$4))</f>
        <v/>
      </c>
      <c r="AK6" s="29">
        <f>IF(OR(B6="",N(AI6)=0),"",MIN(1,AH6/AI6))</f>
        <v/>
      </c>
    </row>
    <row r="7" ht="20" customHeight="1">
      <c r="B7" s="18">
        <f>IF(Setup!B8="","",Setup!B8)</f>
        <v/>
      </c>
      <c r="C7" s="27" t="inlineStr">
        <is>
          <t>✓</t>
        </is>
      </c>
      <c r="D7" s="27" t="inlineStr">
        <is>
          <t>✓</t>
        </is>
      </c>
      <c r="E7" s="27" t="inlineStr">
        <is>
          <t>✓</t>
        </is>
      </c>
      <c r="F7" s="27" t="inlineStr">
        <is>
          <t>✓</t>
        </is>
      </c>
      <c r="G7" s="27" t="inlineStr">
        <is>
          <t>✓</t>
        </is>
      </c>
      <c r="H7" s="27" t="n"/>
      <c r="I7" s="27" t="inlineStr">
        <is>
          <t>✓</t>
        </is>
      </c>
      <c r="J7" s="27" t="inlineStr">
        <is>
          <t>✓</t>
        </is>
      </c>
      <c r="K7" s="27" t="inlineStr">
        <is>
          <t>✓</t>
        </is>
      </c>
      <c r="L7" s="27" t="inlineStr">
        <is>
          <t>✓</t>
        </is>
      </c>
      <c r="M7" s="27" t="inlineStr">
        <is>
          <t>✓</t>
        </is>
      </c>
      <c r="N7" s="27" t="inlineStr">
        <is>
          <t>✓</t>
        </is>
      </c>
      <c r="O7" s="27" t="inlineStr">
        <is>
          <t>✓</t>
        </is>
      </c>
      <c r="P7" s="27" t="n"/>
      <c r="Q7" s="27" t="inlineStr">
        <is>
          <t>✓</t>
        </is>
      </c>
      <c r="R7" s="27" t="inlineStr">
        <is>
          <t>✓</t>
        </is>
      </c>
      <c r="S7" s="27" t="inlineStr">
        <is>
          <t>✓</t>
        </is>
      </c>
      <c r="T7" s="27" t="inlineStr">
        <is>
          <t>✓</t>
        </is>
      </c>
      <c r="U7" s="27" t="inlineStr">
        <is>
          <t>✓</t>
        </is>
      </c>
      <c r="V7" s="27" t="inlineStr">
        <is>
          <t>✓</t>
        </is>
      </c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8">
        <f>IF(B7="","",COUNTIF(C7:AG7,"✓")+COUNTIF(C7:AG7,"x"))</f>
        <v/>
      </c>
      <c r="AI7" s="28">
        <f>IF(OR(B7="",Setup!C8=""),"",MIN(Setup!C8,COUNT($C$4:$AG$4)))</f>
        <v/>
      </c>
      <c r="AJ7" s="29">
        <f>IF(B7="","",AH7/COUNT($C$4:$AG$4))</f>
        <v/>
      </c>
      <c r="AK7" s="29">
        <f>IF(OR(B7="",N(AI7)=0),"",MIN(1,AH7/AI7))</f>
        <v/>
      </c>
    </row>
    <row r="8" ht="20" customHeight="1">
      <c r="B8" s="18">
        <f>IF(Setup!B9="","",Setup!B9)</f>
        <v/>
      </c>
      <c r="C8" s="27" t="inlineStr">
        <is>
          <t>✓</t>
        </is>
      </c>
      <c r="D8" s="27" t="n"/>
      <c r="E8" s="27" t="inlineStr">
        <is>
          <t>✓</t>
        </is>
      </c>
      <c r="F8" s="27" t="inlineStr">
        <is>
          <t>✓</t>
        </is>
      </c>
      <c r="G8" s="27" t="inlineStr">
        <is>
          <t>✓</t>
        </is>
      </c>
      <c r="H8" s="27" t="inlineStr">
        <is>
          <t>✓</t>
        </is>
      </c>
      <c r="I8" s="27" t="inlineStr">
        <is>
          <t>✓</t>
        </is>
      </c>
      <c r="J8" s="27" t="inlineStr">
        <is>
          <t>✓</t>
        </is>
      </c>
      <c r="K8" s="27" t="n"/>
      <c r="L8" s="27" t="inlineStr">
        <is>
          <t>✓</t>
        </is>
      </c>
      <c r="M8" s="27" t="inlineStr">
        <is>
          <t>✓</t>
        </is>
      </c>
      <c r="N8" s="27" t="inlineStr">
        <is>
          <t>✓</t>
        </is>
      </c>
      <c r="O8" s="27" t="inlineStr">
        <is>
          <t>✓</t>
        </is>
      </c>
      <c r="P8" s="27" t="inlineStr">
        <is>
          <t>✓</t>
        </is>
      </c>
      <c r="Q8" s="27" t="inlineStr">
        <is>
          <t>✓</t>
        </is>
      </c>
      <c r="R8" s="27" t="n"/>
      <c r="S8" s="27" t="inlineStr">
        <is>
          <t>✓</t>
        </is>
      </c>
      <c r="T8" s="27" t="inlineStr">
        <is>
          <t>✓</t>
        </is>
      </c>
      <c r="U8" s="27" t="inlineStr">
        <is>
          <t>✓</t>
        </is>
      </c>
      <c r="V8" s="27" t="inlineStr">
        <is>
          <t>✓</t>
        </is>
      </c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8">
        <f>IF(B8="","",COUNTIF(C8:AG8,"✓")+COUNTIF(C8:AG8,"x"))</f>
        <v/>
      </c>
      <c r="AI8" s="28">
        <f>IF(OR(B8="",Setup!C9=""),"",MIN(Setup!C9,COUNT($C$4:$AG$4)))</f>
        <v/>
      </c>
      <c r="AJ8" s="29">
        <f>IF(B8="","",AH8/COUNT($C$4:$AG$4))</f>
        <v/>
      </c>
      <c r="AK8" s="29">
        <f>IF(OR(B8="",N(AI8)=0),"",MIN(1,AH8/AI8))</f>
        <v/>
      </c>
    </row>
    <row r="9" ht="20" customHeight="1">
      <c r="B9" s="18">
        <f>IF(Setup!B10="","",Setup!B10)</f>
        <v/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8">
        <f>IF(B9="","",COUNTIF(C9:AG9,"✓")+COUNTIF(C9:AG9,"x"))</f>
        <v/>
      </c>
      <c r="AI9" s="28">
        <f>IF(OR(B9="",Setup!C10=""),"",MIN(Setup!C10,COUNT($C$4:$AG$4)))</f>
        <v/>
      </c>
      <c r="AJ9" s="29">
        <f>IF(B9="","",AH9/COUNT($C$4:$AG$4))</f>
        <v/>
      </c>
      <c r="AK9" s="29">
        <f>IF(OR(B9="",N(AI9)=0),"",MIN(1,AH9/AI9))</f>
        <v/>
      </c>
    </row>
    <row r="10" ht="20" customHeight="1">
      <c r="B10" s="18">
        <f>IF(Setup!B11="","",Setup!B11)</f>
        <v/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8">
        <f>IF(B10="","",COUNTIF(C10:AG10,"✓")+COUNTIF(C10:AG10,"x"))</f>
        <v/>
      </c>
      <c r="AI10" s="28">
        <f>IF(OR(B10="",Setup!C11=""),"",MIN(Setup!C11,COUNT($C$4:$AG$4)))</f>
        <v/>
      </c>
      <c r="AJ10" s="29">
        <f>IF(B10="","",AH10/COUNT($C$4:$AG$4))</f>
        <v/>
      </c>
      <c r="AK10" s="29">
        <f>IF(OR(B10="",N(AI10)=0),"",MIN(1,AH10/AI10))</f>
        <v/>
      </c>
    </row>
    <row r="11" ht="20" customHeight="1">
      <c r="B11" s="18">
        <f>IF(Setup!B12="","",Setup!B12)</f>
        <v/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8">
        <f>IF(B11="","",COUNTIF(C11:AG11,"✓")+COUNTIF(C11:AG11,"x"))</f>
        <v/>
      </c>
      <c r="AI11" s="28">
        <f>IF(OR(B11="",Setup!C12=""),"",MIN(Setup!C12,COUNT($C$4:$AG$4)))</f>
        <v/>
      </c>
      <c r="AJ11" s="29">
        <f>IF(B11="","",AH11/COUNT($C$4:$AG$4))</f>
        <v/>
      </c>
      <c r="AK11" s="29">
        <f>IF(OR(B11="",N(AI11)=0),"",MIN(1,AH11/AI11))</f>
        <v/>
      </c>
    </row>
    <row r="12" ht="20" customHeight="1">
      <c r="B12" s="18">
        <f>IF(Setup!B13="","",Setup!B13)</f>
        <v/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8">
        <f>IF(B12="","",COUNTIF(C12:AG12,"✓")+COUNTIF(C12:AG12,"x"))</f>
        <v/>
      </c>
      <c r="AI12" s="28">
        <f>IF(OR(B12="",Setup!C13=""),"",MIN(Setup!C13,COUNT($C$4:$AG$4)))</f>
        <v/>
      </c>
      <c r="AJ12" s="29">
        <f>IF(B12="","",AH12/COUNT($C$4:$AG$4))</f>
        <v/>
      </c>
      <c r="AK12" s="29">
        <f>IF(OR(B12="",N(AI12)=0),"",MIN(1,AH12/AI12))</f>
        <v/>
      </c>
    </row>
    <row r="13" ht="20" customHeight="1">
      <c r="B13" s="18">
        <f>IF(Setup!B14="","",Setup!B14)</f>
        <v/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8">
        <f>IF(B13="","",COUNTIF(C13:AG13,"✓")+COUNTIF(C13:AG13,"x"))</f>
        <v/>
      </c>
      <c r="AI13" s="28">
        <f>IF(OR(B13="",Setup!C14=""),"",MIN(Setup!C14,COUNT($C$4:$AG$4)))</f>
        <v/>
      </c>
      <c r="AJ13" s="29">
        <f>IF(B13="","",AH13/COUNT($C$4:$AG$4))</f>
        <v/>
      </c>
      <c r="AK13" s="29">
        <f>IF(OR(B13="",N(AI13)=0),"",MIN(1,AH13/AI13))</f>
        <v/>
      </c>
    </row>
    <row r="14" ht="20" customHeight="1">
      <c r="B14" s="18">
        <f>IF(Setup!B15="","",Setup!B15)</f>
        <v/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8">
        <f>IF(B14="","",COUNTIF(C14:AG14,"✓")+COUNTIF(C14:AG14,"x"))</f>
        <v/>
      </c>
      <c r="AI14" s="28">
        <f>IF(OR(B14="",Setup!C15=""),"",MIN(Setup!C15,COUNT($C$4:$AG$4)))</f>
        <v/>
      </c>
      <c r="AJ14" s="29">
        <f>IF(B14="","",AH14/COUNT($C$4:$AG$4))</f>
        <v/>
      </c>
      <c r="AK14" s="29">
        <f>IF(OR(B14="",N(AI14)=0),"",MIN(1,AH14/AI14))</f>
        <v/>
      </c>
    </row>
    <row r="15" ht="20" customHeight="1">
      <c r="B15" s="18">
        <f>IF(Setup!B16="","",Setup!B16)</f>
        <v/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8">
        <f>IF(B15="","",COUNTIF(C15:AG15,"✓")+COUNTIF(C15:AG15,"x"))</f>
        <v/>
      </c>
      <c r="AI15" s="28">
        <f>IF(OR(B15="",Setup!C16=""),"",MIN(Setup!C16,COUNT($C$4:$AG$4)))</f>
        <v/>
      </c>
      <c r="AJ15" s="29">
        <f>IF(B15="","",AH15/COUNT($C$4:$AG$4))</f>
        <v/>
      </c>
      <c r="AK15" s="29">
        <f>IF(OR(B15="",N(AI15)=0),"",MIN(1,AH15/AI15))</f>
        <v/>
      </c>
    </row>
    <row r="16" ht="20" customHeight="1">
      <c r="B16" s="18">
        <f>IF(Setup!B17="","",Setup!B17)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8">
        <f>IF(B16="","",COUNTIF(C16:AG16,"✓")+COUNTIF(C16:AG16,"x"))</f>
        <v/>
      </c>
      <c r="AI16" s="28">
        <f>IF(OR(B16="",Setup!C17=""),"",MIN(Setup!C17,COUNT($C$4:$AG$4)))</f>
        <v/>
      </c>
      <c r="AJ16" s="29">
        <f>IF(B16="","",AH16/COUNT($C$4:$AG$4))</f>
        <v/>
      </c>
      <c r="AK16" s="29">
        <f>IF(OR(B16="",N(AI16)=0),"",MIN(1,AH16/AI16))</f>
        <v/>
      </c>
    </row>
    <row r="17" ht="20" customHeight="1">
      <c r="B17" s="18">
        <f>IF(Setup!B18="","",Setup!B18)</f>
        <v/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8">
        <f>IF(B17="","",COUNTIF(C17:AG17,"✓")+COUNTIF(C17:AG17,"x"))</f>
        <v/>
      </c>
      <c r="AI17" s="28">
        <f>IF(OR(B17="",Setup!C18=""),"",MIN(Setup!C18,COUNT($C$4:$AG$4)))</f>
        <v/>
      </c>
      <c r="AJ17" s="29">
        <f>IF(B17="","",AH17/COUNT($C$4:$AG$4))</f>
        <v/>
      </c>
      <c r="AK17" s="29">
        <f>IF(OR(B17="",N(AI17)=0),"",MIN(1,AH17/AI17))</f>
        <v/>
      </c>
    </row>
    <row r="18" ht="20" customHeight="1">
      <c r="B18" s="18">
        <f>IF(Setup!B19="","",Setup!B19)</f>
        <v/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8">
        <f>IF(B18="","",COUNTIF(C18:AG18,"✓")+COUNTIF(C18:AG18,"x"))</f>
        <v/>
      </c>
      <c r="AI18" s="28">
        <f>IF(OR(B18="",Setup!C19=""),"",MIN(Setup!C19,COUNT($C$4:$AG$4)))</f>
        <v/>
      </c>
      <c r="AJ18" s="29">
        <f>IF(B18="","",AH18/COUNT($C$4:$AG$4))</f>
        <v/>
      </c>
      <c r="AK18" s="29">
        <f>IF(OR(B18="",N(AI18)=0),"",MIN(1,AH18/AI18))</f>
        <v/>
      </c>
    </row>
    <row r="19" ht="20" customHeight="1">
      <c r="B19" s="18">
        <f>IF(Setup!B20="","",Setup!B20)</f>
        <v/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8">
        <f>IF(B19="","",COUNTIF(C19:AG19,"✓")+COUNTIF(C19:AG19,"x"))</f>
        <v/>
      </c>
      <c r="AI19" s="28">
        <f>IF(OR(B19="",Setup!C20=""),"",MIN(Setup!C20,COUNT($C$4:$AG$4)))</f>
        <v/>
      </c>
      <c r="AJ19" s="29">
        <f>IF(B19="","",AH19/COUNT($C$4:$AG$4))</f>
        <v/>
      </c>
      <c r="AK19" s="29">
        <f>IF(OR(B19="",N(AI19)=0),"",MIN(1,AH19/AI19))</f>
        <v/>
      </c>
    </row>
    <row r="20" ht="20" customHeight="1">
      <c r="B20" s="18">
        <f>IF(Setup!B21="","",Setup!B21)</f>
        <v/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8">
        <f>IF(B20="","",COUNTIF(C20:AG20,"✓")+COUNTIF(C20:AG20,"x"))</f>
        <v/>
      </c>
      <c r="AI20" s="28">
        <f>IF(OR(B20="",Setup!C21=""),"",MIN(Setup!C21,COUNT($C$4:$AG$4)))</f>
        <v/>
      </c>
      <c r="AJ20" s="29">
        <f>IF(B20="","",AH20/COUNT($C$4:$AG$4))</f>
        <v/>
      </c>
      <c r="AK20" s="29">
        <f>IF(OR(B20="",N(AI20)=0),"",MIN(1,AH20/AI20))</f>
        <v/>
      </c>
    </row>
    <row r="21">
      <c r="B21" s="30" t="inlineStr">
        <is>
          <t>Day complete</t>
        </is>
      </c>
      <c r="C21" s="31">
        <f>IF(OR(C4="",COUNTIF($B$6:$B$20,"?*")=0),"",(COUNTIF(C6:C20,"✓")+COUNTIF(C6:C20,"x"))/COUNTIF($B$6:$B$20,"?*"))</f>
        <v/>
      </c>
      <c r="D21" s="31">
        <f>IF(OR(D4="",COUNTIF($B$6:$B$20,"?*")=0),"",(COUNTIF(D6:D20,"✓")+COUNTIF(D6:D20,"x"))/COUNTIF($B$6:$B$20,"?*"))</f>
        <v/>
      </c>
      <c r="E21" s="31">
        <f>IF(OR(E4="",COUNTIF($B$6:$B$20,"?*")=0),"",(COUNTIF(E6:E20,"✓")+COUNTIF(E6:E20,"x"))/COUNTIF($B$6:$B$20,"?*"))</f>
        <v/>
      </c>
      <c r="F21" s="31">
        <f>IF(OR(F4="",COUNTIF($B$6:$B$20,"?*")=0),"",(COUNTIF(F6:F20,"✓")+COUNTIF(F6:F20,"x"))/COUNTIF($B$6:$B$20,"?*"))</f>
        <v/>
      </c>
      <c r="G21" s="31">
        <f>IF(OR(G4="",COUNTIF($B$6:$B$20,"?*")=0),"",(COUNTIF(G6:G20,"✓")+COUNTIF(G6:G20,"x"))/COUNTIF($B$6:$B$20,"?*"))</f>
        <v/>
      </c>
      <c r="H21" s="31">
        <f>IF(OR(H4="",COUNTIF($B$6:$B$20,"?*")=0),"",(COUNTIF(H6:H20,"✓")+COUNTIF(H6:H20,"x"))/COUNTIF($B$6:$B$20,"?*"))</f>
        <v/>
      </c>
      <c r="I21" s="31">
        <f>IF(OR(I4="",COUNTIF($B$6:$B$20,"?*")=0),"",(COUNTIF(I6:I20,"✓")+COUNTIF(I6:I20,"x"))/COUNTIF($B$6:$B$20,"?*"))</f>
        <v/>
      </c>
      <c r="J21" s="31">
        <f>IF(OR(J4="",COUNTIF($B$6:$B$20,"?*")=0),"",(COUNTIF(J6:J20,"✓")+COUNTIF(J6:J20,"x"))/COUNTIF($B$6:$B$20,"?*"))</f>
        <v/>
      </c>
      <c r="K21" s="31">
        <f>IF(OR(K4="",COUNTIF($B$6:$B$20,"?*")=0),"",(COUNTIF(K6:K20,"✓")+COUNTIF(K6:K20,"x"))/COUNTIF($B$6:$B$20,"?*"))</f>
        <v/>
      </c>
      <c r="L21" s="31">
        <f>IF(OR(L4="",COUNTIF($B$6:$B$20,"?*")=0),"",(COUNTIF(L6:L20,"✓")+COUNTIF(L6:L20,"x"))/COUNTIF($B$6:$B$20,"?*"))</f>
        <v/>
      </c>
      <c r="M21" s="31">
        <f>IF(OR(M4="",COUNTIF($B$6:$B$20,"?*")=0),"",(COUNTIF(M6:M20,"✓")+COUNTIF(M6:M20,"x"))/COUNTIF($B$6:$B$20,"?*"))</f>
        <v/>
      </c>
      <c r="N21" s="31">
        <f>IF(OR(N4="",COUNTIF($B$6:$B$20,"?*")=0),"",(COUNTIF(N6:N20,"✓")+COUNTIF(N6:N20,"x"))/COUNTIF($B$6:$B$20,"?*"))</f>
        <v/>
      </c>
      <c r="O21" s="31">
        <f>IF(OR(O4="",COUNTIF($B$6:$B$20,"?*")=0),"",(COUNTIF(O6:O20,"✓")+COUNTIF(O6:O20,"x"))/COUNTIF($B$6:$B$20,"?*"))</f>
        <v/>
      </c>
      <c r="P21" s="31">
        <f>IF(OR(P4="",COUNTIF($B$6:$B$20,"?*")=0),"",(COUNTIF(P6:P20,"✓")+COUNTIF(P6:P20,"x"))/COUNTIF($B$6:$B$20,"?*"))</f>
        <v/>
      </c>
      <c r="Q21" s="31">
        <f>IF(OR(Q4="",COUNTIF($B$6:$B$20,"?*")=0),"",(COUNTIF(Q6:Q20,"✓")+COUNTIF(Q6:Q20,"x"))/COUNTIF($B$6:$B$20,"?*"))</f>
        <v/>
      </c>
      <c r="R21" s="31">
        <f>IF(OR(R4="",COUNTIF($B$6:$B$20,"?*")=0),"",(COUNTIF(R6:R20,"✓")+COUNTIF(R6:R20,"x"))/COUNTIF($B$6:$B$20,"?*"))</f>
        <v/>
      </c>
      <c r="S21" s="31">
        <f>IF(OR(S4="",COUNTIF($B$6:$B$20,"?*")=0),"",(COUNTIF(S6:S20,"✓")+COUNTIF(S6:S20,"x"))/COUNTIF($B$6:$B$20,"?*"))</f>
        <v/>
      </c>
      <c r="T21" s="31">
        <f>IF(OR(T4="",COUNTIF($B$6:$B$20,"?*")=0),"",(COUNTIF(T6:T20,"✓")+COUNTIF(T6:T20,"x"))/COUNTIF($B$6:$B$20,"?*"))</f>
        <v/>
      </c>
      <c r="U21" s="31">
        <f>IF(OR(U4="",COUNTIF($B$6:$B$20,"?*")=0),"",(COUNTIF(U6:U20,"✓")+COUNTIF(U6:U20,"x"))/COUNTIF($B$6:$B$20,"?*"))</f>
        <v/>
      </c>
      <c r="V21" s="31">
        <f>IF(OR(V4="",COUNTIF($B$6:$B$20,"?*")=0),"",(COUNTIF(V6:V20,"✓")+COUNTIF(V6:V20,"x"))/COUNTIF($B$6:$B$20,"?*"))</f>
        <v/>
      </c>
      <c r="W21" s="31">
        <f>IF(OR(W4="",COUNTIF($B$6:$B$20,"?*")=0),"",(COUNTIF(W6:W20,"✓")+COUNTIF(W6:W20,"x"))/COUNTIF($B$6:$B$20,"?*"))</f>
        <v/>
      </c>
      <c r="X21" s="31">
        <f>IF(OR(X4="",COUNTIF($B$6:$B$20,"?*")=0),"",(COUNTIF(X6:X20,"✓")+COUNTIF(X6:X20,"x"))/COUNTIF($B$6:$B$20,"?*"))</f>
        <v/>
      </c>
      <c r="Y21" s="31">
        <f>IF(OR(Y4="",COUNTIF($B$6:$B$20,"?*")=0),"",(COUNTIF(Y6:Y20,"✓")+COUNTIF(Y6:Y20,"x"))/COUNTIF($B$6:$B$20,"?*"))</f>
        <v/>
      </c>
      <c r="Z21" s="31">
        <f>IF(OR(Z4="",COUNTIF($B$6:$B$20,"?*")=0),"",(COUNTIF(Z6:Z20,"✓")+COUNTIF(Z6:Z20,"x"))/COUNTIF($B$6:$B$20,"?*"))</f>
        <v/>
      </c>
      <c r="AA21" s="31">
        <f>IF(OR(AA4="",COUNTIF($B$6:$B$20,"?*")=0),"",(COUNTIF(AA6:AA20,"✓")+COUNTIF(AA6:AA20,"x"))/COUNTIF($B$6:$B$20,"?*"))</f>
        <v/>
      </c>
      <c r="AB21" s="31">
        <f>IF(OR(AB4="",COUNTIF($B$6:$B$20,"?*")=0),"",(COUNTIF(AB6:AB20,"✓")+COUNTIF(AB6:AB20,"x"))/COUNTIF($B$6:$B$20,"?*"))</f>
        <v/>
      </c>
      <c r="AC21" s="31">
        <f>IF(OR(AC4="",COUNTIF($B$6:$B$20,"?*")=0),"",(COUNTIF(AC6:AC20,"✓")+COUNTIF(AC6:AC20,"x"))/COUNTIF($B$6:$B$20,"?*"))</f>
        <v/>
      </c>
      <c r="AD21" s="31">
        <f>IF(OR(AD4="",COUNTIF($B$6:$B$20,"?*")=0),"",(COUNTIF(AD6:AD20,"✓")+COUNTIF(AD6:AD20,"x"))/COUNTIF($B$6:$B$20,"?*"))</f>
        <v/>
      </c>
      <c r="AE21" s="31">
        <f>IF(OR(AE4="",COUNTIF($B$6:$B$20,"?*")=0),"",(COUNTIF(AE6:AE20,"✓")+COUNTIF(AE6:AE20,"x"))/COUNTIF($B$6:$B$20,"?*"))</f>
        <v/>
      </c>
      <c r="AF21" s="31">
        <f>IF(OR(AF4="",COUNTIF($B$6:$B$20,"?*")=0),"",(COUNTIF(AF6:AF20,"✓")+COUNTIF(AF6:AF20,"x"))/COUNTIF($B$6:$B$20,"?*"))</f>
        <v/>
      </c>
      <c r="AG21" s="31">
        <f>IF(OR(AG4="",COUNTIF($B$6:$B$20,"?*")=0),"",(COUNTIF(AG6:AG20,"✓")+COUNTIF(AG6:AG20,"x"))/COUNTIF($B$6:$B$20,"?*"))</f>
        <v/>
      </c>
      <c r="AJ21" s="32">
        <f>IFERROR(AVERAGE(AJ6:AJ20),"")</f>
        <v/>
      </c>
    </row>
  </sheetData>
  <conditionalFormatting sqref="C6:AG20">
    <cfRule type="expression" priority="1" dxfId="0">
      <formula>C$4=""</formula>
    </cfRule>
    <cfRule type="expression" priority="2" dxfId="1">
      <formula>OR(C6="✓",C6="x")</formula>
    </cfRule>
  </conditionalFormatting>
  <conditionalFormatting sqref="C4:AG5">
    <cfRule type="expression" priority="3" dxfId="1">
      <formula>C$4=TODAY()</formula>
    </cfRule>
  </conditionalFormatting>
  <conditionalFormatting sqref="C21:AG21">
    <cfRule type="colorScale" priority="4">
      <colorScale>
        <cfvo type="num" val="0"/>
        <cfvo type="num" val="1"/>
        <color rgb="00FFFFFF"/>
        <color rgb="0034D399"/>
      </colorScale>
    </cfRule>
  </conditionalFormatting>
  <conditionalFormatting sqref="AK6:AK20">
    <cfRule type="dataBar" priority="5">
      <dataBar>
        <cfvo type="num" val="0"/>
        <cfvo type="num" val="1"/>
        <color rgb="0034D399"/>
      </dataBar>
    </cfRule>
  </conditionalFormatting>
  <dataValidations count="1">
    <dataValidation sqref="C6:AG20" showDropDown="0" showInputMessage="0" showErrorMessage="0" allowBlank="1" error="Use ✓ or x to mark a habit as done." type="list">
      <formula1>"✓,x"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34D399"/>
    <outlinePr summaryBelow="1" summaryRight="1"/>
    <pageSetUpPr fitToPage="1"/>
  </sheetPr>
  <dimension ref="A1:AK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8" customWidth="1" min="34" max="34"/>
    <col width="8" customWidth="1" min="35" max="35"/>
    <col width="10" customWidth="1" min="36" max="36"/>
    <col width="10" customWidth="1" min="37" max="37"/>
  </cols>
  <sheetData>
    <row r="1" ht="30" customHeight="1">
      <c r="A1" s="1">
        <f>TEXT(DATE(Setup!$C$4,11,1),"mmmm yyyy")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20" customHeight="1">
      <c r="A2" s="3" t="inlineStr">
        <is>
          <t>Mark ✓ when done  ·  علّم ✓ عند الإنجاز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4">
      <c r="B4" s="21" t="inlineStr">
        <is>
          <t>Habit</t>
        </is>
      </c>
      <c r="C4" s="22">
        <f>IF(MONTH(DATE(Setup!$C$4,11,1))=11,DATE(Setup!$C$4,11,1),"")</f>
        <v/>
      </c>
      <c r="D4" s="22">
        <f>IF(MONTH(DATE(Setup!$C$4,11,2))=11,DATE(Setup!$C$4,11,2),"")</f>
        <v/>
      </c>
      <c r="E4" s="22">
        <f>IF(MONTH(DATE(Setup!$C$4,11,3))=11,DATE(Setup!$C$4,11,3),"")</f>
        <v/>
      </c>
      <c r="F4" s="22">
        <f>IF(MONTH(DATE(Setup!$C$4,11,4))=11,DATE(Setup!$C$4,11,4),"")</f>
        <v/>
      </c>
      <c r="G4" s="22">
        <f>IF(MONTH(DATE(Setup!$C$4,11,5))=11,DATE(Setup!$C$4,11,5),"")</f>
        <v/>
      </c>
      <c r="H4" s="22">
        <f>IF(MONTH(DATE(Setup!$C$4,11,6))=11,DATE(Setup!$C$4,11,6),"")</f>
        <v/>
      </c>
      <c r="I4" s="22">
        <f>IF(MONTH(DATE(Setup!$C$4,11,7))=11,DATE(Setup!$C$4,11,7),"")</f>
        <v/>
      </c>
      <c r="J4" s="22">
        <f>IF(MONTH(DATE(Setup!$C$4,11,8))=11,DATE(Setup!$C$4,11,8),"")</f>
        <v/>
      </c>
      <c r="K4" s="22">
        <f>IF(MONTH(DATE(Setup!$C$4,11,9))=11,DATE(Setup!$C$4,11,9),"")</f>
        <v/>
      </c>
      <c r="L4" s="22">
        <f>IF(MONTH(DATE(Setup!$C$4,11,10))=11,DATE(Setup!$C$4,11,10),"")</f>
        <v/>
      </c>
      <c r="M4" s="22">
        <f>IF(MONTH(DATE(Setup!$C$4,11,11))=11,DATE(Setup!$C$4,11,11),"")</f>
        <v/>
      </c>
      <c r="N4" s="22">
        <f>IF(MONTH(DATE(Setup!$C$4,11,12))=11,DATE(Setup!$C$4,11,12),"")</f>
        <v/>
      </c>
      <c r="O4" s="22">
        <f>IF(MONTH(DATE(Setup!$C$4,11,13))=11,DATE(Setup!$C$4,11,13),"")</f>
        <v/>
      </c>
      <c r="P4" s="22">
        <f>IF(MONTH(DATE(Setup!$C$4,11,14))=11,DATE(Setup!$C$4,11,14),"")</f>
        <v/>
      </c>
      <c r="Q4" s="22">
        <f>IF(MONTH(DATE(Setup!$C$4,11,15))=11,DATE(Setup!$C$4,11,15),"")</f>
        <v/>
      </c>
      <c r="R4" s="22">
        <f>IF(MONTH(DATE(Setup!$C$4,11,16))=11,DATE(Setup!$C$4,11,16),"")</f>
        <v/>
      </c>
      <c r="S4" s="22">
        <f>IF(MONTH(DATE(Setup!$C$4,11,17))=11,DATE(Setup!$C$4,11,17),"")</f>
        <v/>
      </c>
      <c r="T4" s="22">
        <f>IF(MONTH(DATE(Setup!$C$4,11,18))=11,DATE(Setup!$C$4,11,18),"")</f>
        <v/>
      </c>
      <c r="U4" s="22">
        <f>IF(MONTH(DATE(Setup!$C$4,11,19))=11,DATE(Setup!$C$4,11,19),"")</f>
        <v/>
      </c>
      <c r="V4" s="22">
        <f>IF(MONTH(DATE(Setup!$C$4,11,20))=11,DATE(Setup!$C$4,11,20),"")</f>
        <v/>
      </c>
      <c r="W4" s="22">
        <f>IF(MONTH(DATE(Setup!$C$4,11,21))=11,DATE(Setup!$C$4,11,21),"")</f>
        <v/>
      </c>
      <c r="X4" s="22">
        <f>IF(MONTH(DATE(Setup!$C$4,11,22))=11,DATE(Setup!$C$4,11,22),"")</f>
        <v/>
      </c>
      <c r="Y4" s="22">
        <f>IF(MONTH(DATE(Setup!$C$4,11,23))=11,DATE(Setup!$C$4,11,23),"")</f>
        <v/>
      </c>
      <c r="Z4" s="22">
        <f>IF(MONTH(DATE(Setup!$C$4,11,24))=11,DATE(Setup!$C$4,11,24),"")</f>
        <v/>
      </c>
      <c r="AA4" s="22">
        <f>IF(MONTH(DATE(Setup!$C$4,11,25))=11,DATE(Setup!$C$4,11,25),"")</f>
        <v/>
      </c>
      <c r="AB4" s="22">
        <f>IF(MONTH(DATE(Setup!$C$4,11,26))=11,DATE(Setup!$C$4,11,26),"")</f>
        <v/>
      </c>
      <c r="AC4" s="22">
        <f>IF(MONTH(DATE(Setup!$C$4,11,27))=11,DATE(Setup!$C$4,11,27),"")</f>
        <v/>
      </c>
      <c r="AD4" s="22">
        <f>IF(MONTH(DATE(Setup!$C$4,11,28))=11,DATE(Setup!$C$4,11,28),"")</f>
        <v/>
      </c>
      <c r="AE4" s="22">
        <f>IF(MONTH(DATE(Setup!$C$4,11,29))=11,DATE(Setup!$C$4,11,29),"")</f>
        <v/>
      </c>
      <c r="AF4" s="22">
        <f>IF(MONTH(DATE(Setup!$C$4,11,30))=11,DATE(Setup!$C$4,11,30),"")</f>
        <v/>
      </c>
      <c r="AG4" s="22">
        <f>IF(MONTH(DATE(Setup!$C$4,11,31))=11,DATE(Setup!$C$4,11,31),"")</f>
        <v/>
      </c>
      <c r="AH4" s="23" t="inlineStr">
        <is>
          <t>Done</t>
        </is>
      </c>
      <c r="AI4" s="23" t="inlineStr">
        <is>
          <t>Goal</t>
        </is>
      </c>
      <c r="AJ4" s="23" t="inlineStr">
        <is>
          <t>Rate</t>
        </is>
      </c>
      <c r="AK4" s="23" t="inlineStr">
        <is>
          <t>vs goal</t>
        </is>
      </c>
    </row>
    <row r="5">
      <c r="B5" s="24" t="n"/>
      <c r="C5" s="25">
        <f>IF(C4="","",MID("SMTWTFS",WEEKDAY(C4),1))</f>
        <v/>
      </c>
      <c r="D5" s="25">
        <f>IF(D4="","",MID("SMTWTFS",WEEKDAY(D4),1))</f>
        <v/>
      </c>
      <c r="E5" s="25">
        <f>IF(E4="","",MID("SMTWTFS",WEEKDAY(E4),1))</f>
        <v/>
      </c>
      <c r="F5" s="25">
        <f>IF(F4="","",MID("SMTWTFS",WEEKDAY(F4),1))</f>
        <v/>
      </c>
      <c r="G5" s="25">
        <f>IF(G4="","",MID("SMTWTFS",WEEKDAY(G4),1))</f>
        <v/>
      </c>
      <c r="H5" s="25">
        <f>IF(H4="","",MID("SMTWTFS",WEEKDAY(H4),1))</f>
        <v/>
      </c>
      <c r="I5" s="25">
        <f>IF(I4="","",MID("SMTWTFS",WEEKDAY(I4),1))</f>
        <v/>
      </c>
      <c r="J5" s="25">
        <f>IF(J4="","",MID("SMTWTFS",WEEKDAY(J4),1))</f>
        <v/>
      </c>
      <c r="K5" s="25">
        <f>IF(K4="","",MID("SMTWTFS",WEEKDAY(K4),1))</f>
        <v/>
      </c>
      <c r="L5" s="25">
        <f>IF(L4="","",MID("SMTWTFS",WEEKDAY(L4),1))</f>
        <v/>
      </c>
      <c r="M5" s="25">
        <f>IF(M4="","",MID("SMTWTFS",WEEKDAY(M4),1))</f>
        <v/>
      </c>
      <c r="N5" s="25">
        <f>IF(N4="","",MID("SMTWTFS",WEEKDAY(N4),1))</f>
        <v/>
      </c>
      <c r="O5" s="25">
        <f>IF(O4="","",MID("SMTWTFS",WEEKDAY(O4),1))</f>
        <v/>
      </c>
      <c r="P5" s="25">
        <f>IF(P4="","",MID("SMTWTFS",WEEKDAY(P4),1))</f>
        <v/>
      </c>
      <c r="Q5" s="25">
        <f>IF(Q4="","",MID("SMTWTFS",WEEKDAY(Q4),1))</f>
        <v/>
      </c>
      <c r="R5" s="25">
        <f>IF(R4="","",MID("SMTWTFS",WEEKDAY(R4),1))</f>
        <v/>
      </c>
      <c r="S5" s="25">
        <f>IF(S4="","",MID("SMTWTFS",WEEKDAY(S4),1))</f>
        <v/>
      </c>
      <c r="T5" s="25">
        <f>IF(T4="","",MID("SMTWTFS",WEEKDAY(T4),1))</f>
        <v/>
      </c>
      <c r="U5" s="25">
        <f>IF(U4="","",MID("SMTWTFS",WEEKDAY(U4),1))</f>
        <v/>
      </c>
      <c r="V5" s="25">
        <f>IF(V4="","",MID("SMTWTFS",WEEKDAY(V4),1))</f>
        <v/>
      </c>
      <c r="W5" s="25">
        <f>IF(W4="","",MID("SMTWTFS",WEEKDAY(W4),1))</f>
        <v/>
      </c>
      <c r="X5" s="25">
        <f>IF(X4="","",MID("SMTWTFS",WEEKDAY(X4),1))</f>
        <v/>
      </c>
      <c r="Y5" s="25">
        <f>IF(Y4="","",MID("SMTWTFS",WEEKDAY(Y4),1))</f>
        <v/>
      </c>
      <c r="Z5" s="25">
        <f>IF(Z4="","",MID("SMTWTFS",WEEKDAY(Z4),1))</f>
        <v/>
      </c>
      <c r="AA5" s="25">
        <f>IF(AA4="","",MID("SMTWTFS",WEEKDAY(AA4),1))</f>
        <v/>
      </c>
      <c r="AB5" s="25">
        <f>IF(AB4="","",MID("SMTWTFS",WEEKDAY(AB4),1))</f>
        <v/>
      </c>
      <c r="AC5" s="25">
        <f>IF(AC4="","",MID("SMTWTFS",WEEKDAY(AC4),1))</f>
        <v/>
      </c>
      <c r="AD5" s="25">
        <f>IF(AD4="","",MID("SMTWTFS",WEEKDAY(AD4),1))</f>
        <v/>
      </c>
      <c r="AE5" s="25">
        <f>IF(AE4="","",MID("SMTWTFS",WEEKDAY(AE4),1))</f>
        <v/>
      </c>
      <c r="AF5" s="25">
        <f>IF(AF4="","",MID("SMTWTFS",WEEKDAY(AF4),1))</f>
        <v/>
      </c>
      <c r="AG5" s="25">
        <f>IF(AG4="","",MID("SMTWTFS",WEEKDAY(AG4),1))</f>
        <v/>
      </c>
      <c r="AH5" s="26" t="n"/>
      <c r="AI5" s="26" t="n"/>
      <c r="AJ5" s="26" t="n"/>
      <c r="AK5" s="26" t="n"/>
    </row>
    <row r="6" ht="20" customHeight="1">
      <c r="B6" s="18">
        <f>IF(Setup!B7="","",Setup!B7)</f>
        <v/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8">
        <f>IF(B6="","",COUNTIF(C6:AG6,"✓")+COUNTIF(C6:AG6,"x"))</f>
        <v/>
      </c>
      <c r="AI6" s="28">
        <f>IF(OR(B6="",Setup!C7=""),"",MIN(Setup!C7,COUNT($C$4:$AG$4)))</f>
        <v/>
      </c>
      <c r="AJ6" s="29">
        <f>IF(B6="","",AH6/COUNT($C$4:$AG$4))</f>
        <v/>
      </c>
      <c r="AK6" s="29">
        <f>IF(OR(B6="",N(AI6)=0),"",MIN(1,AH6/AI6))</f>
        <v/>
      </c>
    </row>
    <row r="7" ht="20" customHeight="1">
      <c r="B7" s="18">
        <f>IF(Setup!B8="","",Setup!B8)</f>
        <v/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8">
        <f>IF(B7="","",COUNTIF(C7:AG7,"✓")+COUNTIF(C7:AG7,"x"))</f>
        <v/>
      </c>
      <c r="AI7" s="28">
        <f>IF(OR(B7="",Setup!C8=""),"",MIN(Setup!C8,COUNT($C$4:$AG$4)))</f>
        <v/>
      </c>
      <c r="AJ7" s="29">
        <f>IF(B7="","",AH7/COUNT($C$4:$AG$4))</f>
        <v/>
      </c>
      <c r="AK7" s="29">
        <f>IF(OR(B7="",N(AI7)=0),"",MIN(1,AH7/AI7))</f>
        <v/>
      </c>
    </row>
    <row r="8" ht="20" customHeight="1">
      <c r="B8" s="18">
        <f>IF(Setup!B9="","",Setup!B9)</f>
        <v/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8">
        <f>IF(B8="","",COUNTIF(C8:AG8,"✓")+COUNTIF(C8:AG8,"x"))</f>
        <v/>
      </c>
      <c r="AI8" s="28">
        <f>IF(OR(B8="",Setup!C9=""),"",MIN(Setup!C9,COUNT($C$4:$AG$4)))</f>
        <v/>
      </c>
      <c r="AJ8" s="29">
        <f>IF(B8="","",AH8/COUNT($C$4:$AG$4))</f>
        <v/>
      </c>
      <c r="AK8" s="29">
        <f>IF(OR(B8="",N(AI8)=0),"",MIN(1,AH8/AI8))</f>
        <v/>
      </c>
    </row>
    <row r="9" ht="20" customHeight="1">
      <c r="B9" s="18">
        <f>IF(Setup!B10="","",Setup!B10)</f>
        <v/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8">
        <f>IF(B9="","",COUNTIF(C9:AG9,"✓")+COUNTIF(C9:AG9,"x"))</f>
        <v/>
      </c>
      <c r="AI9" s="28">
        <f>IF(OR(B9="",Setup!C10=""),"",MIN(Setup!C10,COUNT($C$4:$AG$4)))</f>
        <v/>
      </c>
      <c r="AJ9" s="29">
        <f>IF(B9="","",AH9/COUNT($C$4:$AG$4))</f>
        <v/>
      </c>
      <c r="AK9" s="29">
        <f>IF(OR(B9="",N(AI9)=0),"",MIN(1,AH9/AI9))</f>
        <v/>
      </c>
    </row>
    <row r="10" ht="20" customHeight="1">
      <c r="B10" s="18">
        <f>IF(Setup!B11="","",Setup!B11)</f>
        <v/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8">
        <f>IF(B10="","",COUNTIF(C10:AG10,"✓")+COUNTIF(C10:AG10,"x"))</f>
        <v/>
      </c>
      <c r="AI10" s="28">
        <f>IF(OR(B10="",Setup!C11=""),"",MIN(Setup!C11,COUNT($C$4:$AG$4)))</f>
        <v/>
      </c>
      <c r="AJ10" s="29">
        <f>IF(B10="","",AH10/COUNT($C$4:$AG$4))</f>
        <v/>
      </c>
      <c r="AK10" s="29">
        <f>IF(OR(B10="",N(AI10)=0),"",MIN(1,AH10/AI10))</f>
        <v/>
      </c>
    </row>
    <row r="11" ht="20" customHeight="1">
      <c r="B11" s="18">
        <f>IF(Setup!B12="","",Setup!B12)</f>
        <v/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8">
        <f>IF(B11="","",COUNTIF(C11:AG11,"✓")+COUNTIF(C11:AG11,"x"))</f>
        <v/>
      </c>
      <c r="AI11" s="28">
        <f>IF(OR(B11="",Setup!C12=""),"",MIN(Setup!C12,COUNT($C$4:$AG$4)))</f>
        <v/>
      </c>
      <c r="AJ11" s="29">
        <f>IF(B11="","",AH11/COUNT($C$4:$AG$4))</f>
        <v/>
      </c>
      <c r="AK11" s="29">
        <f>IF(OR(B11="",N(AI11)=0),"",MIN(1,AH11/AI11))</f>
        <v/>
      </c>
    </row>
    <row r="12" ht="20" customHeight="1">
      <c r="B12" s="18">
        <f>IF(Setup!B13="","",Setup!B13)</f>
        <v/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8">
        <f>IF(B12="","",COUNTIF(C12:AG12,"✓")+COUNTIF(C12:AG12,"x"))</f>
        <v/>
      </c>
      <c r="AI12" s="28">
        <f>IF(OR(B12="",Setup!C13=""),"",MIN(Setup!C13,COUNT($C$4:$AG$4)))</f>
        <v/>
      </c>
      <c r="AJ12" s="29">
        <f>IF(B12="","",AH12/COUNT($C$4:$AG$4))</f>
        <v/>
      </c>
      <c r="AK12" s="29">
        <f>IF(OR(B12="",N(AI12)=0),"",MIN(1,AH12/AI12))</f>
        <v/>
      </c>
    </row>
    <row r="13" ht="20" customHeight="1">
      <c r="B13" s="18">
        <f>IF(Setup!B14="","",Setup!B14)</f>
        <v/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8">
        <f>IF(B13="","",COUNTIF(C13:AG13,"✓")+COUNTIF(C13:AG13,"x"))</f>
        <v/>
      </c>
      <c r="AI13" s="28">
        <f>IF(OR(B13="",Setup!C14=""),"",MIN(Setup!C14,COUNT($C$4:$AG$4)))</f>
        <v/>
      </c>
      <c r="AJ13" s="29">
        <f>IF(B13="","",AH13/COUNT($C$4:$AG$4))</f>
        <v/>
      </c>
      <c r="AK13" s="29">
        <f>IF(OR(B13="",N(AI13)=0),"",MIN(1,AH13/AI13))</f>
        <v/>
      </c>
    </row>
    <row r="14" ht="20" customHeight="1">
      <c r="B14" s="18">
        <f>IF(Setup!B15="","",Setup!B15)</f>
        <v/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8">
        <f>IF(B14="","",COUNTIF(C14:AG14,"✓")+COUNTIF(C14:AG14,"x"))</f>
        <v/>
      </c>
      <c r="AI14" s="28">
        <f>IF(OR(B14="",Setup!C15=""),"",MIN(Setup!C15,COUNT($C$4:$AG$4)))</f>
        <v/>
      </c>
      <c r="AJ14" s="29">
        <f>IF(B14="","",AH14/COUNT($C$4:$AG$4))</f>
        <v/>
      </c>
      <c r="AK14" s="29">
        <f>IF(OR(B14="",N(AI14)=0),"",MIN(1,AH14/AI14))</f>
        <v/>
      </c>
    </row>
    <row r="15" ht="20" customHeight="1">
      <c r="B15" s="18">
        <f>IF(Setup!B16="","",Setup!B16)</f>
        <v/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8">
        <f>IF(B15="","",COUNTIF(C15:AG15,"✓")+COUNTIF(C15:AG15,"x"))</f>
        <v/>
      </c>
      <c r="AI15" s="28">
        <f>IF(OR(B15="",Setup!C16=""),"",MIN(Setup!C16,COUNT($C$4:$AG$4)))</f>
        <v/>
      </c>
      <c r="AJ15" s="29">
        <f>IF(B15="","",AH15/COUNT($C$4:$AG$4))</f>
        <v/>
      </c>
      <c r="AK15" s="29">
        <f>IF(OR(B15="",N(AI15)=0),"",MIN(1,AH15/AI15))</f>
        <v/>
      </c>
    </row>
    <row r="16" ht="20" customHeight="1">
      <c r="B16" s="18">
        <f>IF(Setup!B17="","",Setup!B17)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8">
        <f>IF(B16="","",COUNTIF(C16:AG16,"✓")+COUNTIF(C16:AG16,"x"))</f>
        <v/>
      </c>
      <c r="AI16" s="28">
        <f>IF(OR(B16="",Setup!C17=""),"",MIN(Setup!C17,COUNT($C$4:$AG$4)))</f>
        <v/>
      </c>
      <c r="AJ16" s="29">
        <f>IF(B16="","",AH16/COUNT($C$4:$AG$4))</f>
        <v/>
      </c>
      <c r="AK16" s="29">
        <f>IF(OR(B16="",N(AI16)=0),"",MIN(1,AH16/AI16))</f>
        <v/>
      </c>
    </row>
    <row r="17" ht="20" customHeight="1">
      <c r="B17" s="18">
        <f>IF(Setup!B18="","",Setup!B18)</f>
        <v/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8">
        <f>IF(B17="","",COUNTIF(C17:AG17,"✓")+COUNTIF(C17:AG17,"x"))</f>
        <v/>
      </c>
      <c r="AI17" s="28">
        <f>IF(OR(B17="",Setup!C18=""),"",MIN(Setup!C18,COUNT($C$4:$AG$4)))</f>
        <v/>
      </c>
      <c r="AJ17" s="29">
        <f>IF(B17="","",AH17/COUNT($C$4:$AG$4))</f>
        <v/>
      </c>
      <c r="AK17" s="29">
        <f>IF(OR(B17="",N(AI17)=0),"",MIN(1,AH17/AI17))</f>
        <v/>
      </c>
    </row>
    <row r="18" ht="20" customHeight="1">
      <c r="B18" s="18">
        <f>IF(Setup!B19="","",Setup!B19)</f>
        <v/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8">
        <f>IF(B18="","",COUNTIF(C18:AG18,"✓")+COUNTIF(C18:AG18,"x"))</f>
        <v/>
      </c>
      <c r="AI18" s="28">
        <f>IF(OR(B18="",Setup!C19=""),"",MIN(Setup!C19,COUNT($C$4:$AG$4)))</f>
        <v/>
      </c>
      <c r="AJ18" s="29">
        <f>IF(B18="","",AH18/COUNT($C$4:$AG$4))</f>
        <v/>
      </c>
      <c r="AK18" s="29">
        <f>IF(OR(B18="",N(AI18)=0),"",MIN(1,AH18/AI18))</f>
        <v/>
      </c>
    </row>
    <row r="19" ht="20" customHeight="1">
      <c r="B19" s="18">
        <f>IF(Setup!B20="","",Setup!B20)</f>
        <v/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8">
        <f>IF(B19="","",COUNTIF(C19:AG19,"✓")+COUNTIF(C19:AG19,"x"))</f>
        <v/>
      </c>
      <c r="AI19" s="28">
        <f>IF(OR(B19="",Setup!C20=""),"",MIN(Setup!C20,COUNT($C$4:$AG$4)))</f>
        <v/>
      </c>
      <c r="AJ19" s="29">
        <f>IF(B19="","",AH19/COUNT($C$4:$AG$4))</f>
        <v/>
      </c>
      <c r="AK19" s="29">
        <f>IF(OR(B19="",N(AI19)=0),"",MIN(1,AH19/AI19))</f>
        <v/>
      </c>
    </row>
    <row r="20" ht="20" customHeight="1">
      <c r="B20" s="18">
        <f>IF(Setup!B21="","",Setup!B21)</f>
        <v/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8">
        <f>IF(B20="","",COUNTIF(C20:AG20,"✓")+COUNTIF(C20:AG20,"x"))</f>
        <v/>
      </c>
      <c r="AI20" s="28">
        <f>IF(OR(B20="",Setup!C21=""),"",MIN(Setup!C21,COUNT($C$4:$AG$4)))</f>
        <v/>
      </c>
      <c r="AJ20" s="29">
        <f>IF(B20="","",AH20/COUNT($C$4:$AG$4))</f>
        <v/>
      </c>
      <c r="AK20" s="29">
        <f>IF(OR(B20="",N(AI20)=0),"",MIN(1,AH20/AI20))</f>
        <v/>
      </c>
    </row>
    <row r="21">
      <c r="B21" s="30" t="inlineStr">
        <is>
          <t>Day complete</t>
        </is>
      </c>
      <c r="C21" s="31">
        <f>IF(OR(C4="",COUNTIF($B$6:$B$20,"?*")=0),"",(COUNTIF(C6:C20,"✓")+COUNTIF(C6:C20,"x"))/COUNTIF($B$6:$B$20,"?*"))</f>
        <v/>
      </c>
      <c r="D21" s="31">
        <f>IF(OR(D4="",COUNTIF($B$6:$B$20,"?*")=0),"",(COUNTIF(D6:D20,"✓")+COUNTIF(D6:D20,"x"))/COUNTIF($B$6:$B$20,"?*"))</f>
        <v/>
      </c>
      <c r="E21" s="31">
        <f>IF(OR(E4="",COUNTIF($B$6:$B$20,"?*")=0),"",(COUNTIF(E6:E20,"✓")+COUNTIF(E6:E20,"x"))/COUNTIF($B$6:$B$20,"?*"))</f>
        <v/>
      </c>
      <c r="F21" s="31">
        <f>IF(OR(F4="",COUNTIF($B$6:$B$20,"?*")=0),"",(COUNTIF(F6:F20,"✓")+COUNTIF(F6:F20,"x"))/COUNTIF($B$6:$B$20,"?*"))</f>
        <v/>
      </c>
      <c r="G21" s="31">
        <f>IF(OR(G4="",COUNTIF($B$6:$B$20,"?*")=0),"",(COUNTIF(G6:G20,"✓")+COUNTIF(G6:G20,"x"))/COUNTIF($B$6:$B$20,"?*"))</f>
        <v/>
      </c>
      <c r="H21" s="31">
        <f>IF(OR(H4="",COUNTIF($B$6:$B$20,"?*")=0),"",(COUNTIF(H6:H20,"✓")+COUNTIF(H6:H20,"x"))/COUNTIF($B$6:$B$20,"?*"))</f>
        <v/>
      </c>
      <c r="I21" s="31">
        <f>IF(OR(I4="",COUNTIF($B$6:$B$20,"?*")=0),"",(COUNTIF(I6:I20,"✓")+COUNTIF(I6:I20,"x"))/COUNTIF($B$6:$B$20,"?*"))</f>
        <v/>
      </c>
      <c r="J21" s="31">
        <f>IF(OR(J4="",COUNTIF($B$6:$B$20,"?*")=0),"",(COUNTIF(J6:J20,"✓")+COUNTIF(J6:J20,"x"))/COUNTIF($B$6:$B$20,"?*"))</f>
        <v/>
      </c>
      <c r="K21" s="31">
        <f>IF(OR(K4="",COUNTIF($B$6:$B$20,"?*")=0),"",(COUNTIF(K6:K20,"✓")+COUNTIF(K6:K20,"x"))/COUNTIF($B$6:$B$20,"?*"))</f>
        <v/>
      </c>
      <c r="L21" s="31">
        <f>IF(OR(L4="",COUNTIF($B$6:$B$20,"?*")=0),"",(COUNTIF(L6:L20,"✓")+COUNTIF(L6:L20,"x"))/COUNTIF($B$6:$B$20,"?*"))</f>
        <v/>
      </c>
      <c r="M21" s="31">
        <f>IF(OR(M4="",COUNTIF($B$6:$B$20,"?*")=0),"",(COUNTIF(M6:M20,"✓")+COUNTIF(M6:M20,"x"))/COUNTIF($B$6:$B$20,"?*"))</f>
        <v/>
      </c>
      <c r="N21" s="31">
        <f>IF(OR(N4="",COUNTIF($B$6:$B$20,"?*")=0),"",(COUNTIF(N6:N20,"✓")+COUNTIF(N6:N20,"x"))/COUNTIF($B$6:$B$20,"?*"))</f>
        <v/>
      </c>
      <c r="O21" s="31">
        <f>IF(OR(O4="",COUNTIF($B$6:$B$20,"?*")=0),"",(COUNTIF(O6:O20,"✓")+COUNTIF(O6:O20,"x"))/COUNTIF($B$6:$B$20,"?*"))</f>
        <v/>
      </c>
      <c r="P21" s="31">
        <f>IF(OR(P4="",COUNTIF($B$6:$B$20,"?*")=0),"",(COUNTIF(P6:P20,"✓")+COUNTIF(P6:P20,"x"))/COUNTIF($B$6:$B$20,"?*"))</f>
        <v/>
      </c>
      <c r="Q21" s="31">
        <f>IF(OR(Q4="",COUNTIF($B$6:$B$20,"?*")=0),"",(COUNTIF(Q6:Q20,"✓")+COUNTIF(Q6:Q20,"x"))/COUNTIF($B$6:$B$20,"?*"))</f>
        <v/>
      </c>
      <c r="R21" s="31">
        <f>IF(OR(R4="",COUNTIF($B$6:$B$20,"?*")=0),"",(COUNTIF(R6:R20,"✓")+COUNTIF(R6:R20,"x"))/COUNTIF($B$6:$B$20,"?*"))</f>
        <v/>
      </c>
      <c r="S21" s="31">
        <f>IF(OR(S4="",COUNTIF($B$6:$B$20,"?*")=0),"",(COUNTIF(S6:S20,"✓")+COUNTIF(S6:S20,"x"))/COUNTIF($B$6:$B$20,"?*"))</f>
        <v/>
      </c>
      <c r="T21" s="31">
        <f>IF(OR(T4="",COUNTIF($B$6:$B$20,"?*")=0),"",(COUNTIF(T6:T20,"✓")+COUNTIF(T6:T20,"x"))/COUNTIF($B$6:$B$20,"?*"))</f>
        <v/>
      </c>
      <c r="U21" s="31">
        <f>IF(OR(U4="",COUNTIF($B$6:$B$20,"?*")=0),"",(COUNTIF(U6:U20,"✓")+COUNTIF(U6:U20,"x"))/COUNTIF($B$6:$B$20,"?*"))</f>
        <v/>
      </c>
      <c r="V21" s="31">
        <f>IF(OR(V4="",COUNTIF($B$6:$B$20,"?*")=0),"",(COUNTIF(V6:V20,"✓")+COUNTIF(V6:V20,"x"))/COUNTIF($B$6:$B$20,"?*"))</f>
        <v/>
      </c>
      <c r="W21" s="31">
        <f>IF(OR(W4="",COUNTIF($B$6:$B$20,"?*")=0),"",(COUNTIF(W6:W20,"✓")+COUNTIF(W6:W20,"x"))/COUNTIF($B$6:$B$20,"?*"))</f>
        <v/>
      </c>
      <c r="X21" s="31">
        <f>IF(OR(X4="",COUNTIF($B$6:$B$20,"?*")=0),"",(COUNTIF(X6:X20,"✓")+COUNTIF(X6:X20,"x"))/COUNTIF($B$6:$B$20,"?*"))</f>
        <v/>
      </c>
      <c r="Y21" s="31">
        <f>IF(OR(Y4="",COUNTIF($B$6:$B$20,"?*")=0),"",(COUNTIF(Y6:Y20,"✓")+COUNTIF(Y6:Y20,"x"))/COUNTIF($B$6:$B$20,"?*"))</f>
        <v/>
      </c>
      <c r="Z21" s="31">
        <f>IF(OR(Z4="",COUNTIF($B$6:$B$20,"?*")=0),"",(COUNTIF(Z6:Z20,"✓")+COUNTIF(Z6:Z20,"x"))/COUNTIF($B$6:$B$20,"?*"))</f>
        <v/>
      </c>
      <c r="AA21" s="31">
        <f>IF(OR(AA4="",COUNTIF($B$6:$B$20,"?*")=0),"",(COUNTIF(AA6:AA20,"✓")+COUNTIF(AA6:AA20,"x"))/COUNTIF($B$6:$B$20,"?*"))</f>
        <v/>
      </c>
      <c r="AB21" s="31">
        <f>IF(OR(AB4="",COUNTIF($B$6:$B$20,"?*")=0),"",(COUNTIF(AB6:AB20,"✓")+COUNTIF(AB6:AB20,"x"))/COUNTIF($B$6:$B$20,"?*"))</f>
        <v/>
      </c>
      <c r="AC21" s="31">
        <f>IF(OR(AC4="",COUNTIF($B$6:$B$20,"?*")=0),"",(COUNTIF(AC6:AC20,"✓")+COUNTIF(AC6:AC20,"x"))/COUNTIF($B$6:$B$20,"?*"))</f>
        <v/>
      </c>
      <c r="AD21" s="31">
        <f>IF(OR(AD4="",COUNTIF($B$6:$B$20,"?*")=0),"",(COUNTIF(AD6:AD20,"✓")+COUNTIF(AD6:AD20,"x"))/COUNTIF($B$6:$B$20,"?*"))</f>
        <v/>
      </c>
      <c r="AE21" s="31">
        <f>IF(OR(AE4="",COUNTIF($B$6:$B$20,"?*")=0),"",(COUNTIF(AE6:AE20,"✓")+COUNTIF(AE6:AE20,"x"))/COUNTIF($B$6:$B$20,"?*"))</f>
        <v/>
      </c>
      <c r="AF21" s="31">
        <f>IF(OR(AF4="",COUNTIF($B$6:$B$20,"?*")=0),"",(COUNTIF(AF6:AF20,"✓")+COUNTIF(AF6:AF20,"x"))/COUNTIF($B$6:$B$20,"?*"))</f>
        <v/>
      </c>
      <c r="AG21" s="31">
        <f>IF(OR(AG4="",COUNTIF($B$6:$B$20,"?*")=0),"",(COUNTIF(AG6:AG20,"✓")+COUNTIF(AG6:AG20,"x"))/COUNTIF($B$6:$B$20,"?*"))</f>
        <v/>
      </c>
      <c r="AJ21" s="32">
        <f>IFERROR(AVERAGE(AJ6:AJ20),"")</f>
        <v/>
      </c>
    </row>
  </sheetData>
  <conditionalFormatting sqref="C6:AG20">
    <cfRule type="expression" priority="1" dxfId="0">
      <formula>C$4=""</formula>
    </cfRule>
    <cfRule type="expression" priority="2" dxfId="1">
      <formula>OR(C6="✓",C6="x")</formula>
    </cfRule>
  </conditionalFormatting>
  <conditionalFormatting sqref="C4:AG5">
    <cfRule type="expression" priority="3" dxfId="1">
      <formula>C$4=TODAY()</formula>
    </cfRule>
  </conditionalFormatting>
  <conditionalFormatting sqref="C21:AG21">
    <cfRule type="colorScale" priority="4">
      <colorScale>
        <cfvo type="num" val="0"/>
        <cfvo type="num" val="1"/>
        <color rgb="00FFFFFF"/>
        <color rgb="0034D399"/>
      </colorScale>
    </cfRule>
  </conditionalFormatting>
  <conditionalFormatting sqref="AK6:AK20">
    <cfRule type="dataBar" priority="5">
      <dataBar>
        <cfvo type="num" val="0"/>
        <cfvo type="num" val="1"/>
        <color rgb="0034D399"/>
      </dataBar>
    </cfRule>
  </conditionalFormatting>
  <dataValidations count="1">
    <dataValidation sqref="C6:AG20" showDropDown="0" showInputMessage="0" showErrorMessage="0" allowBlank="1" error="Use ✓ or x to mark a habit as done." type="list">
      <formula1>"✓,x"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34D399"/>
    <outlinePr summaryBelow="1" summaryRight="1"/>
    <pageSetUpPr fitToPage="1"/>
  </sheetPr>
  <dimension ref="A1:AK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8" customWidth="1" min="34" max="34"/>
    <col width="8" customWidth="1" min="35" max="35"/>
    <col width="10" customWidth="1" min="36" max="36"/>
    <col width="10" customWidth="1" min="37" max="37"/>
  </cols>
  <sheetData>
    <row r="1" ht="30" customHeight="1">
      <c r="A1" s="1">
        <f>TEXT(DATE(Setup!$C$4,12,1),"mmmm yyyy")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20" customHeight="1">
      <c r="A2" s="3" t="inlineStr">
        <is>
          <t>Mark ✓ when done  ·  علّم ✓ عند الإنجاز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4">
      <c r="B4" s="21" t="inlineStr">
        <is>
          <t>Habit</t>
        </is>
      </c>
      <c r="C4" s="22">
        <f>IF(MONTH(DATE(Setup!$C$4,12,1))=12,DATE(Setup!$C$4,12,1),"")</f>
        <v/>
      </c>
      <c r="D4" s="22">
        <f>IF(MONTH(DATE(Setup!$C$4,12,2))=12,DATE(Setup!$C$4,12,2),"")</f>
        <v/>
      </c>
      <c r="E4" s="22">
        <f>IF(MONTH(DATE(Setup!$C$4,12,3))=12,DATE(Setup!$C$4,12,3),"")</f>
        <v/>
      </c>
      <c r="F4" s="22">
        <f>IF(MONTH(DATE(Setup!$C$4,12,4))=12,DATE(Setup!$C$4,12,4),"")</f>
        <v/>
      </c>
      <c r="G4" s="22">
        <f>IF(MONTH(DATE(Setup!$C$4,12,5))=12,DATE(Setup!$C$4,12,5),"")</f>
        <v/>
      </c>
      <c r="H4" s="22">
        <f>IF(MONTH(DATE(Setup!$C$4,12,6))=12,DATE(Setup!$C$4,12,6),"")</f>
        <v/>
      </c>
      <c r="I4" s="22">
        <f>IF(MONTH(DATE(Setup!$C$4,12,7))=12,DATE(Setup!$C$4,12,7),"")</f>
        <v/>
      </c>
      <c r="J4" s="22">
        <f>IF(MONTH(DATE(Setup!$C$4,12,8))=12,DATE(Setup!$C$4,12,8),"")</f>
        <v/>
      </c>
      <c r="K4" s="22">
        <f>IF(MONTH(DATE(Setup!$C$4,12,9))=12,DATE(Setup!$C$4,12,9),"")</f>
        <v/>
      </c>
      <c r="L4" s="22">
        <f>IF(MONTH(DATE(Setup!$C$4,12,10))=12,DATE(Setup!$C$4,12,10),"")</f>
        <v/>
      </c>
      <c r="M4" s="22">
        <f>IF(MONTH(DATE(Setup!$C$4,12,11))=12,DATE(Setup!$C$4,12,11),"")</f>
        <v/>
      </c>
      <c r="N4" s="22">
        <f>IF(MONTH(DATE(Setup!$C$4,12,12))=12,DATE(Setup!$C$4,12,12),"")</f>
        <v/>
      </c>
      <c r="O4" s="22">
        <f>IF(MONTH(DATE(Setup!$C$4,12,13))=12,DATE(Setup!$C$4,12,13),"")</f>
        <v/>
      </c>
      <c r="P4" s="22">
        <f>IF(MONTH(DATE(Setup!$C$4,12,14))=12,DATE(Setup!$C$4,12,14),"")</f>
        <v/>
      </c>
      <c r="Q4" s="22">
        <f>IF(MONTH(DATE(Setup!$C$4,12,15))=12,DATE(Setup!$C$4,12,15),"")</f>
        <v/>
      </c>
      <c r="R4" s="22">
        <f>IF(MONTH(DATE(Setup!$C$4,12,16))=12,DATE(Setup!$C$4,12,16),"")</f>
        <v/>
      </c>
      <c r="S4" s="22">
        <f>IF(MONTH(DATE(Setup!$C$4,12,17))=12,DATE(Setup!$C$4,12,17),"")</f>
        <v/>
      </c>
      <c r="T4" s="22">
        <f>IF(MONTH(DATE(Setup!$C$4,12,18))=12,DATE(Setup!$C$4,12,18),"")</f>
        <v/>
      </c>
      <c r="U4" s="22">
        <f>IF(MONTH(DATE(Setup!$C$4,12,19))=12,DATE(Setup!$C$4,12,19),"")</f>
        <v/>
      </c>
      <c r="V4" s="22">
        <f>IF(MONTH(DATE(Setup!$C$4,12,20))=12,DATE(Setup!$C$4,12,20),"")</f>
        <v/>
      </c>
      <c r="W4" s="22">
        <f>IF(MONTH(DATE(Setup!$C$4,12,21))=12,DATE(Setup!$C$4,12,21),"")</f>
        <v/>
      </c>
      <c r="X4" s="22">
        <f>IF(MONTH(DATE(Setup!$C$4,12,22))=12,DATE(Setup!$C$4,12,22),"")</f>
        <v/>
      </c>
      <c r="Y4" s="22">
        <f>IF(MONTH(DATE(Setup!$C$4,12,23))=12,DATE(Setup!$C$4,12,23),"")</f>
        <v/>
      </c>
      <c r="Z4" s="22">
        <f>IF(MONTH(DATE(Setup!$C$4,12,24))=12,DATE(Setup!$C$4,12,24),"")</f>
        <v/>
      </c>
      <c r="AA4" s="22">
        <f>IF(MONTH(DATE(Setup!$C$4,12,25))=12,DATE(Setup!$C$4,12,25),"")</f>
        <v/>
      </c>
      <c r="AB4" s="22">
        <f>IF(MONTH(DATE(Setup!$C$4,12,26))=12,DATE(Setup!$C$4,12,26),"")</f>
        <v/>
      </c>
      <c r="AC4" s="22">
        <f>IF(MONTH(DATE(Setup!$C$4,12,27))=12,DATE(Setup!$C$4,12,27),"")</f>
        <v/>
      </c>
      <c r="AD4" s="22">
        <f>IF(MONTH(DATE(Setup!$C$4,12,28))=12,DATE(Setup!$C$4,12,28),"")</f>
        <v/>
      </c>
      <c r="AE4" s="22">
        <f>IF(MONTH(DATE(Setup!$C$4,12,29))=12,DATE(Setup!$C$4,12,29),"")</f>
        <v/>
      </c>
      <c r="AF4" s="22">
        <f>IF(MONTH(DATE(Setup!$C$4,12,30))=12,DATE(Setup!$C$4,12,30),"")</f>
        <v/>
      </c>
      <c r="AG4" s="22">
        <f>IF(MONTH(DATE(Setup!$C$4,12,31))=12,DATE(Setup!$C$4,12,31),"")</f>
        <v/>
      </c>
      <c r="AH4" s="23" t="inlineStr">
        <is>
          <t>Done</t>
        </is>
      </c>
      <c r="AI4" s="23" t="inlineStr">
        <is>
          <t>Goal</t>
        </is>
      </c>
      <c r="AJ4" s="23" t="inlineStr">
        <is>
          <t>Rate</t>
        </is>
      </c>
      <c r="AK4" s="23" t="inlineStr">
        <is>
          <t>vs goal</t>
        </is>
      </c>
    </row>
    <row r="5">
      <c r="B5" s="24" t="n"/>
      <c r="C5" s="25">
        <f>IF(C4="","",MID("SMTWTFS",WEEKDAY(C4),1))</f>
        <v/>
      </c>
      <c r="D5" s="25">
        <f>IF(D4="","",MID("SMTWTFS",WEEKDAY(D4),1))</f>
        <v/>
      </c>
      <c r="E5" s="25">
        <f>IF(E4="","",MID("SMTWTFS",WEEKDAY(E4),1))</f>
        <v/>
      </c>
      <c r="F5" s="25">
        <f>IF(F4="","",MID("SMTWTFS",WEEKDAY(F4),1))</f>
        <v/>
      </c>
      <c r="G5" s="25">
        <f>IF(G4="","",MID("SMTWTFS",WEEKDAY(G4),1))</f>
        <v/>
      </c>
      <c r="H5" s="25">
        <f>IF(H4="","",MID("SMTWTFS",WEEKDAY(H4),1))</f>
        <v/>
      </c>
      <c r="I5" s="25">
        <f>IF(I4="","",MID("SMTWTFS",WEEKDAY(I4),1))</f>
        <v/>
      </c>
      <c r="J5" s="25">
        <f>IF(J4="","",MID("SMTWTFS",WEEKDAY(J4),1))</f>
        <v/>
      </c>
      <c r="K5" s="25">
        <f>IF(K4="","",MID("SMTWTFS",WEEKDAY(K4),1))</f>
        <v/>
      </c>
      <c r="L5" s="25">
        <f>IF(L4="","",MID("SMTWTFS",WEEKDAY(L4),1))</f>
        <v/>
      </c>
      <c r="M5" s="25">
        <f>IF(M4="","",MID("SMTWTFS",WEEKDAY(M4),1))</f>
        <v/>
      </c>
      <c r="N5" s="25">
        <f>IF(N4="","",MID("SMTWTFS",WEEKDAY(N4),1))</f>
        <v/>
      </c>
      <c r="O5" s="25">
        <f>IF(O4="","",MID("SMTWTFS",WEEKDAY(O4),1))</f>
        <v/>
      </c>
      <c r="P5" s="25">
        <f>IF(P4="","",MID("SMTWTFS",WEEKDAY(P4),1))</f>
        <v/>
      </c>
      <c r="Q5" s="25">
        <f>IF(Q4="","",MID("SMTWTFS",WEEKDAY(Q4),1))</f>
        <v/>
      </c>
      <c r="R5" s="25">
        <f>IF(R4="","",MID("SMTWTFS",WEEKDAY(R4),1))</f>
        <v/>
      </c>
      <c r="S5" s="25">
        <f>IF(S4="","",MID("SMTWTFS",WEEKDAY(S4),1))</f>
        <v/>
      </c>
      <c r="T5" s="25">
        <f>IF(T4="","",MID("SMTWTFS",WEEKDAY(T4),1))</f>
        <v/>
      </c>
      <c r="U5" s="25">
        <f>IF(U4="","",MID("SMTWTFS",WEEKDAY(U4),1))</f>
        <v/>
      </c>
      <c r="V5" s="25">
        <f>IF(V4="","",MID("SMTWTFS",WEEKDAY(V4),1))</f>
        <v/>
      </c>
      <c r="W5" s="25">
        <f>IF(W4="","",MID("SMTWTFS",WEEKDAY(W4),1))</f>
        <v/>
      </c>
      <c r="X5" s="25">
        <f>IF(X4="","",MID("SMTWTFS",WEEKDAY(X4),1))</f>
        <v/>
      </c>
      <c r="Y5" s="25">
        <f>IF(Y4="","",MID("SMTWTFS",WEEKDAY(Y4),1))</f>
        <v/>
      </c>
      <c r="Z5" s="25">
        <f>IF(Z4="","",MID("SMTWTFS",WEEKDAY(Z4),1))</f>
        <v/>
      </c>
      <c r="AA5" s="25">
        <f>IF(AA4="","",MID("SMTWTFS",WEEKDAY(AA4),1))</f>
        <v/>
      </c>
      <c r="AB5" s="25">
        <f>IF(AB4="","",MID("SMTWTFS",WEEKDAY(AB4),1))</f>
        <v/>
      </c>
      <c r="AC5" s="25">
        <f>IF(AC4="","",MID("SMTWTFS",WEEKDAY(AC4),1))</f>
        <v/>
      </c>
      <c r="AD5" s="25">
        <f>IF(AD4="","",MID("SMTWTFS",WEEKDAY(AD4),1))</f>
        <v/>
      </c>
      <c r="AE5" s="25">
        <f>IF(AE4="","",MID("SMTWTFS",WEEKDAY(AE4),1))</f>
        <v/>
      </c>
      <c r="AF5" s="25">
        <f>IF(AF4="","",MID("SMTWTFS",WEEKDAY(AF4),1))</f>
        <v/>
      </c>
      <c r="AG5" s="25">
        <f>IF(AG4="","",MID("SMTWTFS",WEEKDAY(AG4),1))</f>
        <v/>
      </c>
      <c r="AH5" s="26" t="n"/>
      <c r="AI5" s="26" t="n"/>
      <c r="AJ5" s="26" t="n"/>
      <c r="AK5" s="26" t="n"/>
    </row>
    <row r="6" ht="20" customHeight="1">
      <c r="B6" s="18">
        <f>IF(Setup!B7="","",Setup!B7)</f>
        <v/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8">
        <f>IF(B6="","",COUNTIF(C6:AG6,"✓")+COUNTIF(C6:AG6,"x"))</f>
        <v/>
      </c>
      <c r="AI6" s="28">
        <f>IF(OR(B6="",Setup!C7=""),"",MIN(Setup!C7,COUNT($C$4:$AG$4)))</f>
        <v/>
      </c>
      <c r="AJ6" s="29">
        <f>IF(B6="","",AH6/COUNT($C$4:$AG$4))</f>
        <v/>
      </c>
      <c r="AK6" s="29">
        <f>IF(OR(B6="",N(AI6)=0),"",MIN(1,AH6/AI6))</f>
        <v/>
      </c>
    </row>
    <row r="7" ht="20" customHeight="1">
      <c r="B7" s="18">
        <f>IF(Setup!B8="","",Setup!B8)</f>
        <v/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8">
        <f>IF(B7="","",COUNTIF(C7:AG7,"✓")+COUNTIF(C7:AG7,"x"))</f>
        <v/>
      </c>
      <c r="AI7" s="28">
        <f>IF(OR(B7="",Setup!C8=""),"",MIN(Setup!C8,COUNT($C$4:$AG$4)))</f>
        <v/>
      </c>
      <c r="AJ7" s="29">
        <f>IF(B7="","",AH7/COUNT($C$4:$AG$4))</f>
        <v/>
      </c>
      <c r="AK7" s="29">
        <f>IF(OR(B7="",N(AI7)=0),"",MIN(1,AH7/AI7))</f>
        <v/>
      </c>
    </row>
    <row r="8" ht="20" customHeight="1">
      <c r="B8" s="18">
        <f>IF(Setup!B9="","",Setup!B9)</f>
        <v/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8">
        <f>IF(B8="","",COUNTIF(C8:AG8,"✓")+COUNTIF(C8:AG8,"x"))</f>
        <v/>
      </c>
      <c r="AI8" s="28">
        <f>IF(OR(B8="",Setup!C9=""),"",MIN(Setup!C9,COUNT($C$4:$AG$4)))</f>
        <v/>
      </c>
      <c r="AJ8" s="29">
        <f>IF(B8="","",AH8/COUNT($C$4:$AG$4))</f>
        <v/>
      </c>
      <c r="AK8" s="29">
        <f>IF(OR(B8="",N(AI8)=0),"",MIN(1,AH8/AI8))</f>
        <v/>
      </c>
    </row>
    <row r="9" ht="20" customHeight="1">
      <c r="B9" s="18">
        <f>IF(Setup!B10="","",Setup!B10)</f>
        <v/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8">
        <f>IF(B9="","",COUNTIF(C9:AG9,"✓")+COUNTIF(C9:AG9,"x"))</f>
        <v/>
      </c>
      <c r="AI9" s="28">
        <f>IF(OR(B9="",Setup!C10=""),"",MIN(Setup!C10,COUNT($C$4:$AG$4)))</f>
        <v/>
      </c>
      <c r="AJ9" s="29">
        <f>IF(B9="","",AH9/COUNT($C$4:$AG$4))</f>
        <v/>
      </c>
      <c r="AK9" s="29">
        <f>IF(OR(B9="",N(AI9)=0),"",MIN(1,AH9/AI9))</f>
        <v/>
      </c>
    </row>
    <row r="10" ht="20" customHeight="1">
      <c r="B10" s="18">
        <f>IF(Setup!B11="","",Setup!B11)</f>
        <v/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8">
        <f>IF(B10="","",COUNTIF(C10:AG10,"✓")+COUNTIF(C10:AG10,"x"))</f>
        <v/>
      </c>
      <c r="AI10" s="28">
        <f>IF(OR(B10="",Setup!C11=""),"",MIN(Setup!C11,COUNT($C$4:$AG$4)))</f>
        <v/>
      </c>
      <c r="AJ10" s="29">
        <f>IF(B10="","",AH10/COUNT($C$4:$AG$4))</f>
        <v/>
      </c>
      <c r="AK10" s="29">
        <f>IF(OR(B10="",N(AI10)=0),"",MIN(1,AH10/AI10))</f>
        <v/>
      </c>
    </row>
    <row r="11" ht="20" customHeight="1">
      <c r="B11" s="18">
        <f>IF(Setup!B12="","",Setup!B12)</f>
        <v/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8">
        <f>IF(B11="","",COUNTIF(C11:AG11,"✓")+COUNTIF(C11:AG11,"x"))</f>
        <v/>
      </c>
      <c r="AI11" s="28">
        <f>IF(OR(B11="",Setup!C12=""),"",MIN(Setup!C12,COUNT($C$4:$AG$4)))</f>
        <v/>
      </c>
      <c r="AJ11" s="29">
        <f>IF(B11="","",AH11/COUNT($C$4:$AG$4))</f>
        <v/>
      </c>
      <c r="AK11" s="29">
        <f>IF(OR(B11="",N(AI11)=0),"",MIN(1,AH11/AI11))</f>
        <v/>
      </c>
    </row>
    <row r="12" ht="20" customHeight="1">
      <c r="B12" s="18">
        <f>IF(Setup!B13="","",Setup!B13)</f>
        <v/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8">
        <f>IF(B12="","",COUNTIF(C12:AG12,"✓")+COUNTIF(C12:AG12,"x"))</f>
        <v/>
      </c>
      <c r="AI12" s="28">
        <f>IF(OR(B12="",Setup!C13=""),"",MIN(Setup!C13,COUNT($C$4:$AG$4)))</f>
        <v/>
      </c>
      <c r="AJ12" s="29">
        <f>IF(B12="","",AH12/COUNT($C$4:$AG$4))</f>
        <v/>
      </c>
      <c r="AK12" s="29">
        <f>IF(OR(B12="",N(AI12)=0),"",MIN(1,AH12/AI12))</f>
        <v/>
      </c>
    </row>
    <row r="13" ht="20" customHeight="1">
      <c r="B13" s="18">
        <f>IF(Setup!B14="","",Setup!B14)</f>
        <v/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8">
        <f>IF(B13="","",COUNTIF(C13:AG13,"✓")+COUNTIF(C13:AG13,"x"))</f>
        <v/>
      </c>
      <c r="AI13" s="28">
        <f>IF(OR(B13="",Setup!C14=""),"",MIN(Setup!C14,COUNT($C$4:$AG$4)))</f>
        <v/>
      </c>
      <c r="AJ13" s="29">
        <f>IF(B13="","",AH13/COUNT($C$4:$AG$4))</f>
        <v/>
      </c>
      <c r="AK13" s="29">
        <f>IF(OR(B13="",N(AI13)=0),"",MIN(1,AH13/AI13))</f>
        <v/>
      </c>
    </row>
    <row r="14" ht="20" customHeight="1">
      <c r="B14" s="18">
        <f>IF(Setup!B15="","",Setup!B15)</f>
        <v/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8">
        <f>IF(B14="","",COUNTIF(C14:AG14,"✓")+COUNTIF(C14:AG14,"x"))</f>
        <v/>
      </c>
      <c r="AI14" s="28">
        <f>IF(OR(B14="",Setup!C15=""),"",MIN(Setup!C15,COUNT($C$4:$AG$4)))</f>
        <v/>
      </c>
      <c r="AJ14" s="29">
        <f>IF(B14="","",AH14/COUNT($C$4:$AG$4))</f>
        <v/>
      </c>
      <c r="AK14" s="29">
        <f>IF(OR(B14="",N(AI14)=0),"",MIN(1,AH14/AI14))</f>
        <v/>
      </c>
    </row>
    <row r="15" ht="20" customHeight="1">
      <c r="B15" s="18">
        <f>IF(Setup!B16="","",Setup!B16)</f>
        <v/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8">
        <f>IF(B15="","",COUNTIF(C15:AG15,"✓")+COUNTIF(C15:AG15,"x"))</f>
        <v/>
      </c>
      <c r="AI15" s="28">
        <f>IF(OR(B15="",Setup!C16=""),"",MIN(Setup!C16,COUNT($C$4:$AG$4)))</f>
        <v/>
      </c>
      <c r="AJ15" s="29">
        <f>IF(B15="","",AH15/COUNT($C$4:$AG$4))</f>
        <v/>
      </c>
      <c r="AK15" s="29">
        <f>IF(OR(B15="",N(AI15)=0),"",MIN(1,AH15/AI15))</f>
        <v/>
      </c>
    </row>
    <row r="16" ht="20" customHeight="1">
      <c r="B16" s="18">
        <f>IF(Setup!B17="","",Setup!B17)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8">
        <f>IF(B16="","",COUNTIF(C16:AG16,"✓")+COUNTIF(C16:AG16,"x"))</f>
        <v/>
      </c>
      <c r="AI16" s="28">
        <f>IF(OR(B16="",Setup!C17=""),"",MIN(Setup!C17,COUNT($C$4:$AG$4)))</f>
        <v/>
      </c>
      <c r="AJ16" s="29">
        <f>IF(B16="","",AH16/COUNT($C$4:$AG$4))</f>
        <v/>
      </c>
      <c r="AK16" s="29">
        <f>IF(OR(B16="",N(AI16)=0),"",MIN(1,AH16/AI16))</f>
        <v/>
      </c>
    </row>
    <row r="17" ht="20" customHeight="1">
      <c r="B17" s="18">
        <f>IF(Setup!B18="","",Setup!B18)</f>
        <v/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8">
        <f>IF(B17="","",COUNTIF(C17:AG17,"✓")+COUNTIF(C17:AG17,"x"))</f>
        <v/>
      </c>
      <c r="AI17" s="28">
        <f>IF(OR(B17="",Setup!C18=""),"",MIN(Setup!C18,COUNT($C$4:$AG$4)))</f>
        <v/>
      </c>
      <c r="AJ17" s="29">
        <f>IF(B17="","",AH17/COUNT($C$4:$AG$4))</f>
        <v/>
      </c>
      <c r="AK17" s="29">
        <f>IF(OR(B17="",N(AI17)=0),"",MIN(1,AH17/AI17))</f>
        <v/>
      </c>
    </row>
    <row r="18" ht="20" customHeight="1">
      <c r="B18" s="18">
        <f>IF(Setup!B19="","",Setup!B19)</f>
        <v/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8">
        <f>IF(B18="","",COUNTIF(C18:AG18,"✓")+COUNTIF(C18:AG18,"x"))</f>
        <v/>
      </c>
      <c r="AI18" s="28">
        <f>IF(OR(B18="",Setup!C19=""),"",MIN(Setup!C19,COUNT($C$4:$AG$4)))</f>
        <v/>
      </c>
      <c r="AJ18" s="29">
        <f>IF(B18="","",AH18/COUNT($C$4:$AG$4))</f>
        <v/>
      </c>
      <c r="AK18" s="29">
        <f>IF(OR(B18="",N(AI18)=0),"",MIN(1,AH18/AI18))</f>
        <v/>
      </c>
    </row>
    <row r="19" ht="20" customHeight="1">
      <c r="B19" s="18">
        <f>IF(Setup!B20="","",Setup!B20)</f>
        <v/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8">
        <f>IF(B19="","",COUNTIF(C19:AG19,"✓")+COUNTIF(C19:AG19,"x"))</f>
        <v/>
      </c>
      <c r="AI19" s="28">
        <f>IF(OR(B19="",Setup!C20=""),"",MIN(Setup!C20,COUNT($C$4:$AG$4)))</f>
        <v/>
      </c>
      <c r="AJ19" s="29">
        <f>IF(B19="","",AH19/COUNT($C$4:$AG$4))</f>
        <v/>
      </c>
      <c r="AK19" s="29">
        <f>IF(OR(B19="",N(AI19)=0),"",MIN(1,AH19/AI19))</f>
        <v/>
      </c>
    </row>
    <row r="20" ht="20" customHeight="1">
      <c r="B20" s="18">
        <f>IF(Setup!B21="","",Setup!B21)</f>
        <v/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8">
        <f>IF(B20="","",COUNTIF(C20:AG20,"✓")+COUNTIF(C20:AG20,"x"))</f>
        <v/>
      </c>
      <c r="AI20" s="28">
        <f>IF(OR(B20="",Setup!C21=""),"",MIN(Setup!C21,COUNT($C$4:$AG$4)))</f>
        <v/>
      </c>
      <c r="AJ20" s="29">
        <f>IF(B20="","",AH20/COUNT($C$4:$AG$4))</f>
        <v/>
      </c>
      <c r="AK20" s="29">
        <f>IF(OR(B20="",N(AI20)=0),"",MIN(1,AH20/AI20))</f>
        <v/>
      </c>
    </row>
    <row r="21">
      <c r="B21" s="30" t="inlineStr">
        <is>
          <t>Day complete</t>
        </is>
      </c>
      <c r="C21" s="31">
        <f>IF(OR(C4="",COUNTIF($B$6:$B$20,"?*")=0),"",(COUNTIF(C6:C20,"✓")+COUNTIF(C6:C20,"x"))/COUNTIF($B$6:$B$20,"?*"))</f>
        <v/>
      </c>
      <c r="D21" s="31">
        <f>IF(OR(D4="",COUNTIF($B$6:$B$20,"?*")=0),"",(COUNTIF(D6:D20,"✓")+COUNTIF(D6:D20,"x"))/COUNTIF($B$6:$B$20,"?*"))</f>
        <v/>
      </c>
      <c r="E21" s="31">
        <f>IF(OR(E4="",COUNTIF($B$6:$B$20,"?*")=0),"",(COUNTIF(E6:E20,"✓")+COUNTIF(E6:E20,"x"))/COUNTIF($B$6:$B$20,"?*"))</f>
        <v/>
      </c>
      <c r="F21" s="31">
        <f>IF(OR(F4="",COUNTIF($B$6:$B$20,"?*")=0),"",(COUNTIF(F6:F20,"✓")+COUNTIF(F6:F20,"x"))/COUNTIF($B$6:$B$20,"?*"))</f>
        <v/>
      </c>
      <c r="G21" s="31">
        <f>IF(OR(G4="",COUNTIF($B$6:$B$20,"?*")=0),"",(COUNTIF(G6:G20,"✓")+COUNTIF(G6:G20,"x"))/COUNTIF($B$6:$B$20,"?*"))</f>
        <v/>
      </c>
      <c r="H21" s="31">
        <f>IF(OR(H4="",COUNTIF($B$6:$B$20,"?*")=0),"",(COUNTIF(H6:H20,"✓")+COUNTIF(H6:H20,"x"))/COUNTIF($B$6:$B$20,"?*"))</f>
        <v/>
      </c>
      <c r="I21" s="31">
        <f>IF(OR(I4="",COUNTIF($B$6:$B$20,"?*")=0),"",(COUNTIF(I6:I20,"✓")+COUNTIF(I6:I20,"x"))/COUNTIF($B$6:$B$20,"?*"))</f>
        <v/>
      </c>
      <c r="J21" s="31">
        <f>IF(OR(J4="",COUNTIF($B$6:$B$20,"?*")=0),"",(COUNTIF(J6:J20,"✓")+COUNTIF(J6:J20,"x"))/COUNTIF($B$6:$B$20,"?*"))</f>
        <v/>
      </c>
      <c r="K21" s="31">
        <f>IF(OR(K4="",COUNTIF($B$6:$B$20,"?*")=0),"",(COUNTIF(K6:K20,"✓")+COUNTIF(K6:K20,"x"))/COUNTIF($B$6:$B$20,"?*"))</f>
        <v/>
      </c>
      <c r="L21" s="31">
        <f>IF(OR(L4="",COUNTIF($B$6:$B$20,"?*")=0),"",(COUNTIF(L6:L20,"✓")+COUNTIF(L6:L20,"x"))/COUNTIF($B$6:$B$20,"?*"))</f>
        <v/>
      </c>
      <c r="M21" s="31">
        <f>IF(OR(M4="",COUNTIF($B$6:$B$20,"?*")=0),"",(COUNTIF(M6:M20,"✓")+COUNTIF(M6:M20,"x"))/COUNTIF($B$6:$B$20,"?*"))</f>
        <v/>
      </c>
      <c r="N21" s="31">
        <f>IF(OR(N4="",COUNTIF($B$6:$B$20,"?*")=0),"",(COUNTIF(N6:N20,"✓")+COUNTIF(N6:N20,"x"))/COUNTIF($B$6:$B$20,"?*"))</f>
        <v/>
      </c>
      <c r="O21" s="31">
        <f>IF(OR(O4="",COUNTIF($B$6:$B$20,"?*")=0),"",(COUNTIF(O6:O20,"✓")+COUNTIF(O6:O20,"x"))/COUNTIF($B$6:$B$20,"?*"))</f>
        <v/>
      </c>
      <c r="P21" s="31">
        <f>IF(OR(P4="",COUNTIF($B$6:$B$20,"?*")=0),"",(COUNTIF(P6:P20,"✓")+COUNTIF(P6:P20,"x"))/COUNTIF($B$6:$B$20,"?*"))</f>
        <v/>
      </c>
      <c r="Q21" s="31">
        <f>IF(OR(Q4="",COUNTIF($B$6:$B$20,"?*")=0),"",(COUNTIF(Q6:Q20,"✓")+COUNTIF(Q6:Q20,"x"))/COUNTIF($B$6:$B$20,"?*"))</f>
        <v/>
      </c>
      <c r="R21" s="31">
        <f>IF(OR(R4="",COUNTIF($B$6:$B$20,"?*")=0),"",(COUNTIF(R6:R20,"✓")+COUNTIF(R6:R20,"x"))/COUNTIF($B$6:$B$20,"?*"))</f>
        <v/>
      </c>
      <c r="S21" s="31">
        <f>IF(OR(S4="",COUNTIF($B$6:$B$20,"?*")=0),"",(COUNTIF(S6:S20,"✓")+COUNTIF(S6:S20,"x"))/COUNTIF($B$6:$B$20,"?*"))</f>
        <v/>
      </c>
      <c r="T21" s="31">
        <f>IF(OR(T4="",COUNTIF($B$6:$B$20,"?*")=0),"",(COUNTIF(T6:T20,"✓")+COUNTIF(T6:T20,"x"))/COUNTIF($B$6:$B$20,"?*"))</f>
        <v/>
      </c>
      <c r="U21" s="31">
        <f>IF(OR(U4="",COUNTIF($B$6:$B$20,"?*")=0),"",(COUNTIF(U6:U20,"✓")+COUNTIF(U6:U20,"x"))/COUNTIF($B$6:$B$20,"?*"))</f>
        <v/>
      </c>
      <c r="V21" s="31">
        <f>IF(OR(V4="",COUNTIF($B$6:$B$20,"?*")=0),"",(COUNTIF(V6:V20,"✓")+COUNTIF(V6:V20,"x"))/COUNTIF($B$6:$B$20,"?*"))</f>
        <v/>
      </c>
      <c r="W21" s="31">
        <f>IF(OR(W4="",COUNTIF($B$6:$B$20,"?*")=0),"",(COUNTIF(W6:W20,"✓")+COUNTIF(W6:W20,"x"))/COUNTIF($B$6:$B$20,"?*"))</f>
        <v/>
      </c>
      <c r="X21" s="31">
        <f>IF(OR(X4="",COUNTIF($B$6:$B$20,"?*")=0),"",(COUNTIF(X6:X20,"✓")+COUNTIF(X6:X20,"x"))/COUNTIF($B$6:$B$20,"?*"))</f>
        <v/>
      </c>
      <c r="Y21" s="31">
        <f>IF(OR(Y4="",COUNTIF($B$6:$B$20,"?*")=0),"",(COUNTIF(Y6:Y20,"✓")+COUNTIF(Y6:Y20,"x"))/COUNTIF($B$6:$B$20,"?*"))</f>
        <v/>
      </c>
      <c r="Z21" s="31">
        <f>IF(OR(Z4="",COUNTIF($B$6:$B$20,"?*")=0),"",(COUNTIF(Z6:Z20,"✓")+COUNTIF(Z6:Z20,"x"))/COUNTIF($B$6:$B$20,"?*"))</f>
        <v/>
      </c>
      <c r="AA21" s="31">
        <f>IF(OR(AA4="",COUNTIF($B$6:$B$20,"?*")=0),"",(COUNTIF(AA6:AA20,"✓")+COUNTIF(AA6:AA20,"x"))/COUNTIF($B$6:$B$20,"?*"))</f>
        <v/>
      </c>
      <c r="AB21" s="31">
        <f>IF(OR(AB4="",COUNTIF($B$6:$B$20,"?*")=0),"",(COUNTIF(AB6:AB20,"✓")+COUNTIF(AB6:AB20,"x"))/COUNTIF($B$6:$B$20,"?*"))</f>
        <v/>
      </c>
      <c r="AC21" s="31">
        <f>IF(OR(AC4="",COUNTIF($B$6:$B$20,"?*")=0),"",(COUNTIF(AC6:AC20,"✓")+COUNTIF(AC6:AC20,"x"))/COUNTIF($B$6:$B$20,"?*"))</f>
        <v/>
      </c>
      <c r="AD21" s="31">
        <f>IF(OR(AD4="",COUNTIF($B$6:$B$20,"?*")=0),"",(COUNTIF(AD6:AD20,"✓")+COUNTIF(AD6:AD20,"x"))/COUNTIF($B$6:$B$20,"?*"))</f>
        <v/>
      </c>
      <c r="AE21" s="31">
        <f>IF(OR(AE4="",COUNTIF($B$6:$B$20,"?*")=0),"",(COUNTIF(AE6:AE20,"✓")+COUNTIF(AE6:AE20,"x"))/COUNTIF($B$6:$B$20,"?*"))</f>
        <v/>
      </c>
      <c r="AF21" s="31">
        <f>IF(OR(AF4="",COUNTIF($B$6:$B$20,"?*")=0),"",(COUNTIF(AF6:AF20,"✓")+COUNTIF(AF6:AF20,"x"))/COUNTIF($B$6:$B$20,"?*"))</f>
        <v/>
      </c>
      <c r="AG21" s="31">
        <f>IF(OR(AG4="",COUNTIF($B$6:$B$20,"?*")=0),"",(COUNTIF(AG6:AG20,"✓")+COUNTIF(AG6:AG20,"x"))/COUNTIF($B$6:$B$20,"?*"))</f>
        <v/>
      </c>
      <c r="AJ21" s="32">
        <f>IFERROR(AVERAGE(AJ6:AJ20),"")</f>
        <v/>
      </c>
    </row>
  </sheetData>
  <conditionalFormatting sqref="C6:AG20">
    <cfRule type="expression" priority="1" dxfId="0">
      <formula>C$4=""</formula>
    </cfRule>
    <cfRule type="expression" priority="2" dxfId="1">
      <formula>OR(C6="✓",C6="x")</formula>
    </cfRule>
  </conditionalFormatting>
  <conditionalFormatting sqref="C4:AG5">
    <cfRule type="expression" priority="3" dxfId="1">
      <formula>C$4=TODAY()</formula>
    </cfRule>
  </conditionalFormatting>
  <conditionalFormatting sqref="C21:AG21">
    <cfRule type="colorScale" priority="4">
      <colorScale>
        <cfvo type="num" val="0"/>
        <cfvo type="num" val="1"/>
        <color rgb="00FFFFFF"/>
        <color rgb="0034D399"/>
      </colorScale>
    </cfRule>
  </conditionalFormatting>
  <conditionalFormatting sqref="AK6:AK20">
    <cfRule type="dataBar" priority="5">
      <dataBar>
        <cfvo type="num" val="0"/>
        <cfvo type="num" val="1"/>
        <color rgb="0034D399"/>
      </dataBar>
    </cfRule>
  </conditionalFormatting>
  <dataValidations count="1">
    <dataValidation sqref="C6:AG20" showDropDown="0" showInputMessage="0" showErrorMessage="0" allowBlank="1" error="Use ✓ or x to mark a habit as done." type="list">
      <formula1>"✓,x"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2026-10-23T00:33:32Z</dcterms:created>
  <dcterms:modified xmlns:dcterms="http://purl.org/dc/terms/" xmlns:xsi="http://www.w3.org/2001/XMLSchema-instance" xsi:type="dcterms:W3CDTF">2026-10-23T00:33:33Z</dcterms:modified>
</cp:coreProperties>
</file>