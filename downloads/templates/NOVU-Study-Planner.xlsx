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Timetable" sheetId="5" state="visible" r:id="rId5"/>
  </sheets>
  <definedNames>
    <definedName name="Subjects">Subjects!$B$5:$B$24</definedName>
    <definedName name="_xlnm._FilterDatabase" localSheetId="3" hidden="1">'Sessions'!$A$4:$F$1004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 mmm yyyy"/>
    <numFmt numFmtId="166" formatCode="0.0"/>
    <numFmt numFmtId="167" formatCode="dd mmm"/>
    <numFmt numFmtId="168" formatCode="0.0;-0.0;&quot;–&quot;"/>
    <numFmt numFmtId="169" formatCode="0&quot; days&quot;;-0;&quot;today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59E0B"/>
      <sz val="9"/>
    </font>
    <font>
      <name val="Arial"/>
      <b val="1"/>
      <color rgb="00F59E0B"/>
      <sz val="14"/>
    </font>
    <font>
      <name val="Arial"/>
      <b val="1"/>
      <color rgb="000B0F17"/>
      <sz val="12"/>
    </font>
    <font>
      <name val="Arial"/>
      <b val="1"/>
      <color rgb="00111827"/>
      <sz val="10"/>
    </font>
    <font>
      <name val="Arial"/>
      <color rgb="00374151"/>
      <sz val="10"/>
    </font>
    <font>
      <name val="Arial"/>
      <color rgb="00111827"/>
      <sz val="10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6B7280"/>
      <sz val="9"/>
    </font>
    <font>
      <name val="Arial"/>
      <b val="1"/>
      <color rgb="00111827"/>
      <sz val="11"/>
    </font>
    <font>
      <name val="Arial"/>
      <color rgb="00FFFFFF"/>
      <sz val="8"/>
    </font>
    <font>
      <name val="Arial"/>
      <b val="1"/>
      <color rgb="006B7280"/>
      <sz val="9"/>
    </font>
    <font>
      <name val="Arial"/>
      <b val="1"/>
      <color rgb="000B0F17"/>
      <sz val="18"/>
    </font>
  </fonts>
  <fills count="6">
    <fill>
      <patternFill/>
    </fill>
    <fill>
      <patternFill patternType="gray125"/>
    </fill>
    <fill>
      <patternFill patternType="solid">
        <fgColor rgb="000B0F17"/>
        <bgColor rgb="000B0F17"/>
      </patternFill>
    </fill>
    <fill>
      <patternFill patternType="solid">
        <fgColor rgb="00FEF0DA"/>
        <bgColor rgb="00FEF0DA"/>
      </patternFill>
    </fill>
    <fill>
      <patternFill patternType="solid">
        <fgColor rgb="00151B26"/>
        <bgColor rgb="00151B26"/>
      </patternFill>
    </fill>
    <fill>
      <patternFill patternType="solid">
        <fgColor rgb="00FEF8EE"/>
        <bgColor rgb="00FEF8EE"/>
      </patternFill>
    </fill>
  </fills>
  <borders count="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medium">
        <color rgb="00F59E0B"/>
      </bottom>
    </border>
    <border>
      <bottom style="thick">
        <color rgb="00F59E0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top" inden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5" fillId="0" borderId="0" pivotButton="0" quotePrefix="0" xfId="0"/>
    <xf numFmtId="165" fontId="11" fillId="3" borderId="1" pivotButton="0" quotePrefix="0" xfId="0"/>
    <xf numFmtId="165" fontId="12" fillId="0" borderId="0" pivotButton="0" quotePrefix="0" xfId="0"/>
    <xf numFmtId="0" fontId="13" fillId="5" borderId="0" applyAlignment="1" pivotButton="0" quotePrefix="0" xfId="0">
      <alignment horizontal="left" vertical="center" indent="1"/>
    </xf>
    <xf numFmtId="166" fontId="14" fillId="5" borderId="3" applyAlignment="1" pivotButton="0" quotePrefix="0" xfId="0">
      <alignment horizontal="left" vertical="center" indent="1"/>
    </xf>
    <xf numFmtId="1" fontId="14" fillId="5" borderId="3" applyAlignment="1" pivotButton="0" quotePrefix="0" xfId="0">
      <alignment horizontal="left" vertical="center" indent="1"/>
    </xf>
    <xf numFmtId="168" fontId="14" fillId="5" borderId="3" applyAlignment="1" pivotButton="0" quotePrefix="0" xfId="0">
      <alignment horizontal="left" vertical="center" indent="1"/>
    </xf>
    <xf numFmtId="169" fontId="14" fillId="5" borderId="3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8" fontId="7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165" fontId="7" fillId="3" borderId="1" applyAlignment="1" pivotButton="0" quotePrefix="0" xfId="0">
      <alignment vertical="center"/>
    </xf>
    <xf numFmtId="1" fontId="7" fillId="3" borderId="1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9" fontId="7" fillId="0" borderId="1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0" fontId="7" fillId="3" borderId="1" applyAlignment="1" pivotButton="0" quotePrefix="0" xfId="0">
      <alignment horizontal="center"/>
    </xf>
    <xf numFmtId="167" fontId="10" fillId="0" borderId="1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Arial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B91C1C"/>
      </font>
      <fill>
        <patternFill patternType="solid">
          <fgColor rgb="00FEE2E2"/>
          <bgColor rgb="00FEE2E2"/>
        </patternFill>
      </fill>
    </dxf>
    <dxf>
      <font>
        <name val="Arial"/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'Dashboard'!D11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'Dashboard'!$B$12:$B$18</f>
            </numRef>
          </cat>
          <val>
            <numRef>
              <f>'Dashboard'!$D$12:$D$18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0" customWidth="1" min="3" max="3"/>
    <col width="4" customWidth="1" min="4" max="4"/>
  </cols>
  <sheetData>
    <row r="1" ht="30" customHeight="1">
      <c r="A1" s="1" t="inlineStr">
        <is>
          <t>NOVU  ·  Study Planner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Plan subjects, log study sessions and know exactly how much is left before every exam.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4" t="inlineStr">
        <is>
          <t>مخطط المذاكرة</t>
        </is>
      </c>
    </row>
    <row r="6">
      <c r="B6" s="5" t="inlineStr">
        <is>
          <t>How to use</t>
        </is>
      </c>
    </row>
    <row r="7" ht="30" customHeight="1">
      <c r="B7" s="6" t="inlineStr">
        <is>
          <t>1.  Subjects</t>
        </is>
      </c>
      <c r="C7" s="7" t="inlineStr">
        <is>
          <t>List your subjects with the exam (or deadline) date and how many hours you want to put into each.</t>
        </is>
      </c>
    </row>
    <row r="8" ht="30" customHeight="1">
      <c r="B8" s="6" t="inlineStr">
        <is>
          <t>2.  Sessions</t>
        </is>
      </c>
      <c r="C8" s="7" t="inlineStr">
        <is>
          <t>After every study session, log the date, subject, minutes and how focused you were (1–5). Sample rows show the format — delete them.</t>
        </is>
      </c>
    </row>
    <row r="9" ht="30" customHeight="1">
      <c r="B9" s="6" t="inlineStr">
        <is>
          <t>3.  Dashboard</t>
        </is>
      </c>
      <c r="C9" s="7" t="inlineStr">
        <is>
          <t>Pick any date to see that week: hours per day, hours per subject, number of sessions and average focus.</t>
        </is>
      </c>
    </row>
    <row r="10" ht="30" customHeight="1">
      <c r="B10" s="6" t="inlineStr">
        <is>
          <t>4.  Timetable</t>
        </is>
      </c>
      <c r="C10" s="7" t="inlineStr">
        <is>
          <t>Optional weekly schedule — type what you plan to study in each slot.</t>
        </is>
      </c>
    </row>
    <row r="12">
      <c r="B12" s="5" t="inlineStr">
        <is>
          <t>Legend</t>
        </is>
      </c>
    </row>
    <row r="13">
      <c r="B13" s="8" t="inlineStr">
        <is>
          <t>Type here</t>
        </is>
      </c>
      <c r="C13" s="9" t="inlineStr">
        <is>
          <t>Tinted cells are inputs. Everything else calculates on its own — please don't type over it.</t>
        </is>
      </c>
    </row>
    <row r="14" ht="30" customHeight="1">
      <c r="B14" s="10" t="inlineStr">
        <is>
          <t>Formula</t>
        </is>
      </c>
      <c r="C14" s="7" t="inlineStr">
        <is>
          <t>Hours done, progress, days left and the hours-per-day you need are all calculated from your sessions.</t>
        </is>
      </c>
    </row>
    <row r="16">
      <c r="B16" s="11" t="inlineStr">
        <is>
          <t>Made by NOVU  ·  Private by design. Your data stays in this file.</t>
        </is>
      </c>
    </row>
    <row r="17">
      <c r="B17" s="11" t="inlineStr">
        <is>
          <t>Works in Microsoft Excel 2010+, Google Sheets and LibreOffice.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J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26" customWidth="1" min="8" max="8"/>
    <col width="14" customWidth="1" min="9" max="9"/>
    <col width="3" customWidth="1" min="10" max="10"/>
  </cols>
  <sheetData>
    <row r="1" ht="30" customHeight="1">
      <c r="A1" s="1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Your study week  ·  أسبوعك الدراسي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B4" s="12" t="inlineStr">
        <is>
          <t>Week of</t>
        </is>
      </c>
      <c r="C4" s="13" t="n">
        <v>46317</v>
      </c>
      <c r="D4" s="11">
        <f>"Sat "&amp;TEXT(C5,"dd mmm")&amp;"  →  Fri "&amp;TEXT(C5+6,"dd mmm")</f>
        <v/>
      </c>
    </row>
    <row r="5">
      <c r="C5" s="14">
        <f>C4-MOD(WEEKDAY(C4),7)</f>
        <v/>
      </c>
    </row>
    <row r="7">
      <c r="B7" s="15" t="inlineStr">
        <is>
          <t>HOURS THIS WEEK</t>
        </is>
      </c>
      <c r="C7" s="15" t="inlineStr">
        <is>
          <t>SESSIONS</t>
        </is>
      </c>
      <c r="D7" s="15" t="inlineStr">
        <is>
          <t>AVG FOCUS</t>
        </is>
      </c>
      <c r="E7" s="15" t="inlineStr">
        <is>
          <t>ALL-TIME HOURS</t>
        </is>
      </c>
      <c r="F7" s="15" t="inlineStr">
        <is>
          <t>NEXT EXAM IN</t>
        </is>
      </c>
    </row>
    <row r="8" ht="30" customHeight="1">
      <c r="B8" s="16">
        <f>SUMIFS(Sessions!$C$5:$C$1004,Sessions!$F$5:$F$1004,Dashboard!$C$5)/60</f>
        <v/>
      </c>
      <c r="C8" s="17">
        <f>COUNTIFS(Sessions!$F$5:$F$1004,Dashboard!$C$5)</f>
        <v/>
      </c>
      <c r="D8" s="18">
        <f>IFERROR(AVERAGEIFS(Sessions!$E$5:$E$1004,Sessions!$F$5:$F$1004,Dashboard!$C$5),0)</f>
        <v/>
      </c>
      <c r="E8" s="16">
        <f>SUM(Sessions!$C$5:$C$1004)/60</f>
        <v/>
      </c>
      <c r="F8" s="19">
        <f>IFERROR(SMALL(Subjects!$G$5:$G$24,COUNTIF(Subjects!$G$5:$G$24,"&lt;0")+1),"–")</f>
        <v/>
      </c>
    </row>
    <row r="11" ht="24" customHeight="1">
      <c r="B11" s="20" t="inlineStr">
        <is>
          <t>Day</t>
        </is>
      </c>
      <c r="C11" s="20" t="inlineStr">
        <is>
          <t>Date</t>
        </is>
      </c>
      <c r="D11" s="20" t="inlineStr">
        <is>
          <t>Hours</t>
        </is>
      </c>
      <c r="H11" s="20" t="inlineStr">
        <is>
          <t>Subject</t>
        </is>
      </c>
      <c r="I11" s="20" t="inlineStr">
        <is>
          <t>Hours this week</t>
        </is>
      </c>
    </row>
    <row r="12">
      <c r="B12" s="21" t="inlineStr">
        <is>
          <t>Saturday</t>
        </is>
      </c>
      <c r="C12" s="22">
        <f>$C$5+0</f>
        <v/>
      </c>
      <c r="D12" s="23">
        <f>SUMIFS(Sessions!$C$5:$C$1004,Sessions!$A$5:$A$1004,C12)/60</f>
        <v/>
      </c>
      <c r="H12" s="21">
        <f>IF(Subjects!B5="","",Subjects!B5)</f>
        <v/>
      </c>
      <c r="I12" s="23">
        <f>IF(H12="","",SUMIFS(Sessions!$C$5:$C$1004,Sessions!$B$5:$B$1004,H12,Sessions!$F$5:$F$1004,Dashboard!$C$5)/60)</f>
        <v/>
      </c>
    </row>
    <row r="13">
      <c r="B13" s="21" t="inlineStr">
        <is>
          <t>Sunday</t>
        </is>
      </c>
      <c r="C13" s="22">
        <f>$C$5+1</f>
        <v/>
      </c>
      <c r="D13" s="23">
        <f>SUMIFS(Sessions!$C$5:$C$1004,Sessions!$A$5:$A$1004,C13)/60</f>
        <v/>
      </c>
      <c r="H13" s="21">
        <f>IF(Subjects!B6="","",Subjects!B6)</f>
        <v/>
      </c>
      <c r="I13" s="23">
        <f>IF(H13="","",SUMIFS(Sessions!$C$5:$C$1004,Sessions!$B$5:$B$1004,H13,Sessions!$F$5:$F$1004,Dashboard!$C$5)/60)</f>
        <v/>
      </c>
    </row>
    <row r="14">
      <c r="B14" s="21" t="inlineStr">
        <is>
          <t>Monday</t>
        </is>
      </c>
      <c r="C14" s="22">
        <f>$C$5+2</f>
        <v/>
      </c>
      <c r="D14" s="23">
        <f>SUMIFS(Sessions!$C$5:$C$1004,Sessions!$A$5:$A$1004,C14)/60</f>
        <v/>
      </c>
      <c r="H14" s="21">
        <f>IF(Subjects!B7="","",Subjects!B7)</f>
        <v/>
      </c>
      <c r="I14" s="23">
        <f>IF(H14="","",SUMIFS(Sessions!$C$5:$C$1004,Sessions!$B$5:$B$1004,H14,Sessions!$F$5:$F$1004,Dashboard!$C$5)/60)</f>
        <v/>
      </c>
    </row>
    <row r="15">
      <c r="B15" s="21" t="inlineStr">
        <is>
          <t>Tuesday</t>
        </is>
      </c>
      <c r="C15" s="22">
        <f>$C$5+3</f>
        <v/>
      </c>
      <c r="D15" s="23">
        <f>SUMIFS(Sessions!$C$5:$C$1004,Sessions!$A$5:$A$1004,C15)/60</f>
        <v/>
      </c>
      <c r="H15" s="21">
        <f>IF(Subjects!B8="","",Subjects!B8)</f>
        <v/>
      </c>
      <c r="I15" s="23">
        <f>IF(H15="","",SUMIFS(Sessions!$C$5:$C$1004,Sessions!$B$5:$B$1004,H15,Sessions!$F$5:$F$1004,Dashboard!$C$5)/60)</f>
        <v/>
      </c>
    </row>
    <row r="16">
      <c r="B16" s="21" t="inlineStr">
        <is>
          <t>Wednesday</t>
        </is>
      </c>
      <c r="C16" s="22">
        <f>$C$5+4</f>
        <v/>
      </c>
      <c r="D16" s="23">
        <f>SUMIFS(Sessions!$C$5:$C$1004,Sessions!$A$5:$A$1004,C16)/60</f>
        <v/>
      </c>
      <c r="H16" s="21">
        <f>IF(Subjects!B9="","",Subjects!B9)</f>
        <v/>
      </c>
      <c r="I16" s="23">
        <f>IF(H16="","",SUMIFS(Sessions!$C$5:$C$1004,Sessions!$B$5:$B$1004,H16,Sessions!$F$5:$F$1004,Dashboard!$C$5)/60)</f>
        <v/>
      </c>
    </row>
    <row r="17">
      <c r="B17" s="21" t="inlineStr">
        <is>
          <t>Thursday</t>
        </is>
      </c>
      <c r="C17" s="22">
        <f>$C$5+5</f>
        <v/>
      </c>
      <c r="D17" s="23">
        <f>SUMIFS(Sessions!$C$5:$C$1004,Sessions!$A$5:$A$1004,C17)/60</f>
        <v/>
      </c>
      <c r="H17" s="21">
        <f>IF(Subjects!B10="","",Subjects!B10)</f>
        <v/>
      </c>
      <c r="I17" s="23">
        <f>IF(H17="","",SUMIFS(Sessions!$C$5:$C$1004,Sessions!$B$5:$B$1004,H17,Sessions!$F$5:$F$1004,Dashboard!$C$5)/60)</f>
        <v/>
      </c>
    </row>
    <row r="18">
      <c r="B18" s="21" t="inlineStr">
        <is>
          <t>Friday</t>
        </is>
      </c>
      <c r="C18" s="22">
        <f>$C$5+6</f>
        <v/>
      </c>
      <c r="D18" s="23">
        <f>SUMIFS(Sessions!$C$5:$C$1004,Sessions!$A$5:$A$1004,C18)/60</f>
        <v/>
      </c>
      <c r="H18" s="21">
        <f>IF(Subjects!B11="","",Subjects!B11)</f>
        <v/>
      </c>
      <c r="I18" s="23">
        <f>IF(H18="","",SUMIFS(Sessions!$C$5:$C$1004,Sessions!$B$5:$B$1004,H18,Sessions!$F$5:$F$1004,Dashboard!$C$5)/60)</f>
        <v/>
      </c>
    </row>
    <row r="19">
      <c r="H19" s="21">
        <f>IF(Subjects!B12="","",Subjects!B12)</f>
        <v/>
      </c>
      <c r="I19" s="23">
        <f>IF(H19="","",SUMIFS(Sessions!$C$5:$C$1004,Sessions!$B$5:$B$1004,H19,Sessions!$F$5:$F$1004,Dashboard!$C$5)/60)</f>
        <v/>
      </c>
    </row>
    <row r="20">
      <c r="H20" s="21">
        <f>IF(Subjects!B13="","",Subjects!B13)</f>
        <v/>
      </c>
      <c r="I20" s="23">
        <f>IF(H20="","",SUMIFS(Sessions!$C$5:$C$1004,Sessions!$B$5:$B$1004,H20,Sessions!$F$5:$F$1004,Dashboard!$C$5)/60)</f>
        <v/>
      </c>
    </row>
    <row r="21">
      <c r="H21" s="21">
        <f>IF(Subjects!B14="","",Subjects!B14)</f>
        <v/>
      </c>
      <c r="I21" s="23">
        <f>IF(H21="","",SUMIFS(Sessions!$C$5:$C$1004,Sessions!$B$5:$B$1004,H21,Sessions!$F$5:$F$1004,Dashboard!$C$5)/60)</f>
        <v/>
      </c>
    </row>
    <row r="22">
      <c r="H22" s="21">
        <f>IF(Subjects!B15="","",Subjects!B15)</f>
        <v/>
      </c>
      <c r="I22" s="23">
        <f>IF(H22="","",SUMIFS(Sessions!$C$5:$C$1004,Sessions!$B$5:$B$1004,H22,Sessions!$F$5:$F$1004,Dashboard!$C$5)/60)</f>
        <v/>
      </c>
    </row>
    <row r="23">
      <c r="H23" s="21">
        <f>IF(Subjects!B16="","",Subjects!B16)</f>
        <v/>
      </c>
      <c r="I23" s="23">
        <f>IF(H23="","",SUMIFS(Sessions!$C$5:$C$1004,Sessions!$B$5:$B$1004,H23,Sessions!$F$5:$F$1004,Dashboard!$C$5)/60)</f>
        <v/>
      </c>
    </row>
    <row r="24">
      <c r="H24" s="21">
        <f>IF(Subjects!B17="","",Subjects!B17)</f>
        <v/>
      </c>
      <c r="I24" s="23">
        <f>IF(H24="","",SUMIFS(Sessions!$C$5:$C$1004,Sessions!$B$5:$B$1004,H24,Sessions!$F$5:$F$1004,Dashboard!$C$5)/60)</f>
        <v/>
      </c>
    </row>
    <row r="25">
      <c r="H25" s="21">
        <f>IF(Subjects!B18="","",Subjects!B18)</f>
        <v/>
      </c>
      <c r="I25" s="23">
        <f>IF(H25="","",SUMIFS(Sessions!$C$5:$C$1004,Sessions!$B$5:$B$1004,H25,Sessions!$F$5:$F$1004,Dashboard!$C$5)/60)</f>
        <v/>
      </c>
    </row>
    <row r="26">
      <c r="H26" s="21">
        <f>IF(Subjects!B19="","",Subjects!B19)</f>
        <v/>
      </c>
      <c r="I26" s="23">
        <f>IF(H26="","",SUMIFS(Sessions!$C$5:$C$1004,Sessions!$B$5:$B$1004,H26,Sessions!$F$5:$F$1004,Dashboard!$C$5)/60)</f>
        <v/>
      </c>
    </row>
    <row r="27">
      <c r="H27" s="21">
        <f>IF(Subjects!B20="","",Subjects!B20)</f>
        <v/>
      </c>
      <c r="I27" s="23">
        <f>IF(H27="","",SUMIFS(Sessions!$C$5:$C$1004,Sessions!$B$5:$B$1004,H27,Sessions!$F$5:$F$1004,Dashboard!$C$5)/60)</f>
        <v/>
      </c>
    </row>
    <row r="28">
      <c r="H28" s="21">
        <f>IF(Subjects!B21="","",Subjects!B21)</f>
        <v/>
      </c>
      <c r="I28" s="23">
        <f>IF(H28="","",SUMIFS(Sessions!$C$5:$C$1004,Sessions!$B$5:$B$1004,H28,Sessions!$F$5:$F$1004,Dashboard!$C$5)/60)</f>
        <v/>
      </c>
    </row>
    <row r="29">
      <c r="H29" s="21">
        <f>IF(Subjects!B22="","",Subjects!B22)</f>
        <v/>
      </c>
      <c r="I29" s="23">
        <f>IF(H29="","",SUMIFS(Sessions!$C$5:$C$1004,Sessions!$B$5:$B$1004,H29,Sessions!$F$5:$F$1004,Dashboard!$C$5)/60)</f>
        <v/>
      </c>
    </row>
    <row r="30">
      <c r="H30" s="21">
        <f>IF(Subjects!B23="","",Subjects!B23)</f>
        <v/>
      </c>
      <c r="I30" s="23">
        <f>IF(H30="","",SUMIFS(Sessions!$C$5:$C$1004,Sessions!$B$5:$B$1004,H30,Sessions!$F$5:$F$1004,Dashboard!$C$5)/60)</f>
        <v/>
      </c>
    </row>
    <row r="31">
      <c r="H31" s="21">
        <f>IF(Subjects!B24="","",Subjects!B24)</f>
        <v/>
      </c>
      <c r="I31" s="23">
        <f>IF(H31="","",SUMIFS(Sessions!$C$5:$C$1004,Sessions!$B$5:$B$1004,H31,Sessions!$F$5:$F$1004,Dashboard!$C$5)/60)</f>
        <v/>
      </c>
    </row>
  </sheetData>
  <conditionalFormatting sqref="I12:I31">
    <cfRule type="dataBar" priority="1">
      <dataBar>
        <cfvo type="num" val="0"/>
        <cfvo type="max"/>
        <color rgb="00F59E0B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I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1" customWidth="1" min="7" max="7"/>
    <col width="14" customWidth="1" min="8" max="8"/>
    <col width="14" customWidth="1" min="9" max="9"/>
  </cols>
  <sheetData>
    <row r="1" ht="30" customHeight="1">
      <c r="A1" s="1" t="inlineStr">
        <is>
          <t>Subjects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Your subjects and exams  ·  المواد والامتحانات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4" customHeight="1">
      <c r="B4" s="20" t="inlineStr">
        <is>
          <t>Subject</t>
        </is>
      </c>
      <c r="C4" s="20" t="inlineStr">
        <is>
          <t>Exam / deadline</t>
        </is>
      </c>
      <c r="D4" s="20" t="inlineStr">
        <is>
          <t>Target hours</t>
        </is>
      </c>
      <c r="E4" s="20" t="inlineStr">
        <is>
          <t>Hours done</t>
        </is>
      </c>
      <c r="F4" s="20" t="inlineStr">
        <is>
          <t>Progress</t>
        </is>
      </c>
      <c r="G4" s="20" t="inlineStr">
        <is>
          <t>Days left</t>
        </is>
      </c>
      <c r="H4" s="20" t="inlineStr">
        <is>
          <t>Hours / day needed</t>
        </is>
      </c>
      <c r="I4" s="20" t="inlineStr">
        <is>
          <t>Status</t>
        </is>
      </c>
    </row>
    <row r="5">
      <c r="B5" s="24" t="inlineStr">
        <is>
          <t>Mathematics</t>
        </is>
      </c>
      <c r="C5" s="25" t="n">
        <v>46376</v>
      </c>
      <c r="D5" s="26" t="n">
        <v>60</v>
      </c>
      <c r="E5" s="27">
        <f>IF(B5="","",SUMIFS(Sessions!$C$5:$C$1004,Sessions!$B$5:$B$1004,B5)/60)</f>
        <v/>
      </c>
      <c r="F5" s="28">
        <f>IF(OR(B5="",N(D5)=0),"",MIN(1,E5/D5))</f>
        <v/>
      </c>
      <c r="G5" s="29">
        <f>IF(OR(B5="",C5=""),"",C5-TODAY())</f>
        <v/>
      </c>
      <c r="H5" s="27">
        <f>IF(OR(B5="",G5="",N(D5)=0),"",IF(G5&lt;=0,"",MAX(0,D5-E5)/G5))</f>
        <v/>
      </c>
      <c r="I5" s="21">
        <f>IF(B5="","",IF(N(F5)&gt;=1,"Done",IF(G5="","On track",IF(G5&lt;0,"Exam passed",IF(G5&lt;=7,"Exam soon","On track")))))</f>
        <v/>
      </c>
    </row>
    <row r="6">
      <c r="B6" s="24" t="inlineStr">
        <is>
          <t>Physics</t>
        </is>
      </c>
      <c r="C6" s="25" t="n">
        <v>46379</v>
      </c>
      <c r="D6" s="26" t="n">
        <v>45</v>
      </c>
      <c r="E6" s="27">
        <f>IF(B6="","",SUMIFS(Sessions!$C$5:$C$1004,Sessions!$B$5:$B$1004,B6)/60)</f>
        <v/>
      </c>
      <c r="F6" s="28">
        <f>IF(OR(B6="",N(D6)=0),"",MIN(1,E6/D6))</f>
        <v/>
      </c>
      <c r="G6" s="29">
        <f>IF(OR(B6="",C6=""),"",C6-TODAY())</f>
        <v/>
      </c>
      <c r="H6" s="27">
        <f>IF(OR(B6="",G6="",N(D6)=0),"",IF(G6&lt;=0,"",MAX(0,D6-E6)/G6))</f>
        <v/>
      </c>
      <c r="I6" s="21">
        <f>IF(B6="","",IF(N(F6)&gt;=1,"Done",IF(G6="","On track",IF(G6&lt;0,"Exam passed",IF(G6&lt;=7,"Exam soon","On track")))))</f>
        <v/>
      </c>
    </row>
    <row r="7">
      <c r="B7" s="24" t="inlineStr">
        <is>
          <t>Chemistry</t>
        </is>
      </c>
      <c r="C7" s="25" t="n">
        <v>46383</v>
      </c>
      <c r="D7" s="26" t="n">
        <v>40</v>
      </c>
      <c r="E7" s="27">
        <f>IF(B7="","",SUMIFS(Sessions!$C$5:$C$1004,Sessions!$B$5:$B$1004,B7)/60)</f>
        <v/>
      </c>
      <c r="F7" s="28">
        <f>IF(OR(B7="",N(D7)=0),"",MIN(1,E7/D7))</f>
        <v/>
      </c>
      <c r="G7" s="29">
        <f>IF(OR(B7="",C7=""),"",C7-TODAY())</f>
        <v/>
      </c>
      <c r="H7" s="27">
        <f>IF(OR(B7="",G7="",N(D7)=0),"",IF(G7&lt;=0,"",MAX(0,D7-E7)/G7))</f>
        <v/>
      </c>
      <c r="I7" s="21">
        <f>IF(B7="","",IF(N(F7)&gt;=1,"Done",IF(G7="","On track",IF(G7&lt;0,"Exam passed",IF(G7&lt;=7,"Exam soon","On track")))))</f>
        <v/>
      </c>
    </row>
    <row r="8">
      <c r="B8" s="24" t="inlineStr">
        <is>
          <t>English</t>
        </is>
      </c>
      <c r="C8" s="25" t="n">
        <v>46386</v>
      </c>
      <c r="D8" s="26" t="n">
        <v>25</v>
      </c>
      <c r="E8" s="27">
        <f>IF(B8="","",SUMIFS(Sessions!$C$5:$C$1004,Sessions!$B$5:$B$1004,B8)/60)</f>
        <v/>
      </c>
      <c r="F8" s="28">
        <f>IF(OR(B8="",N(D8)=0),"",MIN(1,E8/D8))</f>
        <v/>
      </c>
      <c r="G8" s="29">
        <f>IF(OR(B8="",C8=""),"",C8-TODAY())</f>
        <v/>
      </c>
      <c r="H8" s="27">
        <f>IF(OR(B8="",G8="",N(D8)=0),"",IF(G8&lt;=0,"",MAX(0,D8-E8)/G8))</f>
        <v/>
      </c>
      <c r="I8" s="21">
        <f>IF(B8="","",IF(N(F8)&gt;=1,"Done",IF(G8="","On track",IF(G8&lt;0,"Exam passed",IF(G8&lt;=7,"Exam soon","On track")))))</f>
        <v/>
      </c>
    </row>
    <row r="9">
      <c r="B9" s="24" t="inlineStr">
        <is>
          <t>Arabic</t>
        </is>
      </c>
      <c r="C9" s="25" t="n">
        <v>46390</v>
      </c>
      <c r="D9" s="26" t="n">
        <v>25</v>
      </c>
      <c r="E9" s="27">
        <f>IF(B9="","",SUMIFS(Sessions!$C$5:$C$1004,Sessions!$B$5:$B$1004,B9)/60)</f>
        <v/>
      </c>
      <c r="F9" s="28">
        <f>IF(OR(B9="",N(D9)=0),"",MIN(1,E9/D9))</f>
        <v/>
      </c>
      <c r="G9" s="29">
        <f>IF(OR(B9="",C9=""),"",C9-TODAY())</f>
        <v/>
      </c>
      <c r="H9" s="27">
        <f>IF(OR(B9="",G9="",N(D9)=0),"",IF(G9&lt;=0,"",MAX(0,D9-E9)/G9))</f>
        <v/>
      </c>
      <c r="I9" s="21">
        <f>IF(B9="","",IF(N(F9)&gt;=1,"Done",IF(G9="","On track",IF(G9&lt;0,"Exam passed",IF(G9&lt;=7,"Exam soon","On track")))))</f>
        <v/>
      </c>
    </row>
    <row r="10">
      <c r="B10" s="24" t="n"/>
      <c r="C10" s="25" t="n"/>
      <c r="D10" s="26" t="n"/>
      <c r="E10" s="27">
        <f>IF(B10="","",SUMIFS(Sessions!$C$5:$C$1004,Sessions!$B$5:$B$1004,B10)/60)</f>
        <v/>
      </c>
      <c r="F10" s="28">
        <f>IF(OR(B10="",N(D10)=0),"",MIN(1,E10/D10))</f>
        <v/>
      </c>
      <c r="G10" s="29">
        <f>IF(OR(B10="",C10=""),"",C10-TODAY())</f>
        <v/>
      </c>
      <c r="H10" s="27">
        <f>IF(OR(B10="",G10="",N(D10)=0),"",IF(G10&lt;=0,"",MAX(0,D10-E10)/G10))</f>
        <v/>
      </c>
      <c r="I10" s="21">
        <f>IF(B10="","",IF(N(F10)&gt;=1,"Done",IF(G10="","On track",IF(G10&lt;0,"Exam passed",IF(G10&lt;=7,"Exam soon","On track")))))</f>
        <v/>
      </c>
    </row>
    <row r="11">
      <c r="B11" s="24" t="n"/>
      <c r="C11" s="25" t="n"/>
      <c r="D11" s="26" t="n"/>
      <c r="E11" s="27">
        <f>IF(B11="","",SUMIFS(Sessions!$C$5:$C$1004,Sessions!$B$5:$B$1004,B11)/60)</f>
        <v/>
      </c>
      <c r="F11" s="28">
        <f>IF(OR(B11="",N(D11)=0),"",MIN(1,E11/D11))</f>
        <v/>
      </c>
      <c r="G11" s="29">
        <f>IF(OR(B11="",C11=""),"",C11-TODAY())</f>
        <v/>
      </c>
      <c r="H11" s="27">
        <f>IF(OR(B11="",G11="",N(D11)=0),"",IF(G11&lt;=0,"",MAX(0,D11-E11)/G11))</f>
        <v/>
      </c>
      <c r="I11" s="21">
        <f>IF(B11="","",IF(N(F11)&gt;=1,"Done",IF(G11="","On track",IF(G11&lt;0,"Exam passed",IF(G11&lt;=7,"Exam soon","On track")))))</f>
        <v/>
      </c>
    </row>
    <row r="12">
      <c r="B12" s="24" t="n"/>
      <c r="C12" s="25" t="n"/>
      <c r="D12" s="26" t="n"/>
      <c r="E12" s="27">
        <f>IF(B12="","",SUMIFS(Sessions!$C$5:$C$1004,Sessions!$B$5:$B$1004,B12)/60)</f>
        <v/>
      </c>
      <c r="F12" s="28">
        <f>IF(OR(B12="",N(D12)=0),"",MIN(1,E12/D12))</f>
        <v/>
      </c>
      <c r="G12" s="29">
        <f>IF(OR(B12="",C12=""),"",C12-TODAY())</f>
        <v/>
      </c>
      <c r="H12" s="27">
        <f>IF(OR(B12="",G12="",N(D12)=0),"",IF(G12&lt;=0,"",MAX(0,D12-E12)/G12))</f>
        <v/>
      </c>
      <c r="I12" s="21">
        <f>IF(B12="","",IF(N(F12)&gt;=1,"Done",IF(G12="","On track",IF(G12&lt;0,"Exam passed",IF(G12&lt;=7,"Exam soon","On track")))))</f>
        <v/>
      </c>
    </row>
    <row r="13">
      <c r="B13" s="24" t="n"/>
      <c r="C13" s="25" t="n"/>
      <c r="D13" s="26" t="n"/>
      <c r="E13" s="27">
        <f>IF(B13="","",SUMIFS(Sessions!$C$5:$C$1004,Sessions!$B$5:$B$1004,B13)/60)</f>
        <v/>
      </c>
      <c r="F13" s="28">
        <f>IF(OR(B13="",N(D13)=0),"",MIN(1,E13/D13))</f>
        <v/>
      </c>
      <c r="G13" s="29">
        <f>IF(OR(B13="",C13=""),"",C13-TODAY())</f>
        <v/>
      </c>
      <c r="H13" s="27">
        <f>IF(OR(B13="",G13="",N(D13)=0),"",IF(G13&lt;=0,"",MAX(0,D13-E13)/G13))</f>
        <v/>
      </c>
      <c r="I13" s="21">
        <f>IF(B13="","",IF(N(F13)&gt;=1,"Done",IF(G13="","On track",IF(G13&lt;0,"Exam passed",IF(G13&lt;=7,"Exam soon","On track")))))</f>
        <v/>
      </c>
    </row>
    <row r="14">
      <c r="B14" s="24" t="n"/>
      <c r="C14" s="25" t="n"/>
      <c r="D14" s="26" t="n"/>
      <c r="E14" s="27">
        <f>IF(B14="","",SUMIFS(Sessions!$C$5:$C$1004,Sessions!$B$5:$B$1004,B14)/60)</f>
        <v/>
      </c>
      <c r="F14" s="28">
        <f>IF(OR(B14="",N(D14)=0),"",MIN(1,E14/D14))</f>
        <v/>
      </c>
      <c r="G14" s="29">
        <f>IF(OR(B14="",C14=""),"",C14-TODAY())</f>
        <v/>
      </c>
      <c r="H14" s="27">
        <f>IF(OR(B14="",G14="",N(D14)=0),"",IF(G14&lt;=0,"",MAX(0,D14-E14)/G14))</f>
        <v/>
      </c>
      <c r="I14" s="21">
        <f>IF(B14="","",IF(N(F14)&gt;=1,"Done",IF(G14="","On track",IF(G14&lt;0,"Exam passed",IF(G14&lt;=7,"Exam soon","On track")))))</f>
        <v/>
      </c>
    </row>
    <row r="15">
      <c r="B15" s="24" t="n"/>
      <c r="C15" s="25" t="n"/>
      <c r="D15" s="26" t="n"/>
      <c r="E15" s="27">
        <f>IF(B15="","",SUMIFS(Sessions!$C$5:$C$1004,Sessions!$B$5:$B$1004,B15)/60)</f>
        <v/>
      </c>
      <c r="F15" s="28">
        <f>IF(OR(B15="",N(D15)=0),"",MIN(1,E15/D15))</f>
        <v/>
      </c>
      <c r="G15" s="29">
        <f>IF(OR(B15="",C15=""),"",C15-TODAY())</f>
        <v/>
      </c>
      <c r="H15" s="27">
        <f>IF(OR(B15="",G15="",N(D15)=0),"",IF(G15&lt;=0,"",MAX(0,D15-E15)/G15))</f>
        <v/>
      </c>
      <c r="I15" s="21">
        <f>IF(B15="","",IF(N(F15)&gt;=1,"Done",IF(G15="","On track",IF(G15&lt;0,"Exam passed",IF(G15&lt;=7,"Exam soon","On track")))))</f>
        <v/>
      </c>
    </row>
    <row r="16">
      <c r="B16" s="24" t="n"/>
      <c r="C16" s="25" t="n"/>
      <c r="D16" s="26" t="n"/>
      <c r="E16" s="27">
        <f>IF(B16="","",SUMIFS(Sessions!$C$5:$C$1004,Sessions!$B$5:$B$1004,B16)/60)</f>
        <v/>
      </c>
      <c r="F16" s="28">
        <f>IF(OR(B16="",N(D16)=0),"",MIN(1,E16/D16))</f>
        <v/>
      </c>
      <c r="G16" s="29">
        <f>IF(OR(B16="",C16=""),"",C16-TODAY())</f>
        <v/>
      </c>
      <c r="H16" s="27">
        <f>IF(OR(B16="",G16="",N(D16)=0),"",IF(G16&lt;=0,"",MAX(0,D16-E16)/G16))</f>
        <v/>
      </c>
      <c r="I16" s="21">
        <f>IF(B16="","",IF(N(F16)&gt;=1,"Done",IF(G16="","On track",IF(G16&lt;0,"Exam passed",IF(G16&lt;=7,"Exam soon","On track")))))</f>
        <v/>
      </c>
    </row>
    <row r="17">
      <c r="B17" s="24" t="n"/>
      <c r="C17" s="25" t="n"/>
      <c r="D17" s="26" t="n"/>
      <c r="E17" s="27">
        <f>IF(B17="","",SUMIFS(Sessions!$C$5:$C$1004,Sessions!$B$5:$B$1004,B17)/60)</f>
        <v/>
      </c>
      <c r="F17" s="28">
        <f>IF(OR(B17="",N(D17)=0),"",MIN(1,E17/D17))</f>
        <v/>
      </c>
      <c r="G17" s="29">
        <f>IF(OR(B17="",C17=""),"",C17-TODAY())</f>
        <v/>
      </c>
      <c r="H17" s="27">
        <f>IF(OR(B17="",G17="",N(D17)=0),"",IF(G17&lt;=0,"",MAX(0,D17-E17)/G17))</f>
        <v/>
      </c>
      <c r="I17" s="21">
        <f>IF(B17="","",IF(N(F17)&gt;=1,"Done",IF(G17="","On track",IF(G17&lt;0,"Exam passed",IF(G17&lt;=7,"Exam soon","On track")))))</f>
        <v/>
      </c>
    </row>
    <row r="18">
      <c r="B18" s="24" t="n"/>
      <c r="C18" s="25" t="n"/>
      <c r="D18" s="26" t="n"/>
      <c r="E18" s="27">
        <f>IF(B18="","",SUMIFS(Sessions!$C$5:$C$1004,Sessions!$B$5:$B$1004,B18)/60)</f>
        <v/>
      </c>
      <c r="F18" s="28">
        <f>IF(OR(B18="",N(D18)=0),"",MIN(1,E18/D18))</f>
        <v/>
      </c>
      <c r="G18" s="29">
        <f>IF(OR(B18="",C18=""),"",C18-TODAY())</f>
        <v/>
      </c>
      <c r="H18" s="27">
        <f>IF(OR(B18="",G18="",N(D18)=0),"",IF(G18&lt;=0,"",MAX(0,D18-E18)/G18))</f>
        <v/>
      </c>
      <c r="I18" s="21">
        <f>IF(B18="","",IF(N(F18)&gt;=1,"Done",IF(G18="","On track",IF(G18&lt;0,"Exam passed",IF(G18&lt;=7,"Exam soon","On track")))))</f>
        <v/>
      </c>
    </row>
    <row r="19">
      <c r="B19" s="24" t="n"/>
      <c r="C19" s="25" t="n"/>
      <c r="D19" s="26" t="n"/>
      <c r="E19" s="27">
        <f>IF(B19="","",SUMIFS(Sessions!$C$5:$C$1004,Sessions!$B$5:$B$1004,B19)/60)</f>
        <v/>
      </c>
      <c r="F19" s="28">
        <f>IF(OR(B19="",N(D19)=0),"",MIN(1,E19/D19))</f>
        <v/>
      </c>
      <c r="G19" s="29">
        <f>IF(OR(B19="",C19=""),"",C19-TODAY())</f>
        <v/>
      </c>
      <c r="H19" s="27">
        <f>IF(OR(B19="",G19="",N(D19)=0),"",IF(G19&lt;=0,"",MAX(0,D19-E19)/G19))</f>
        <v/>
      </c>
      <c r="I19" s="21">
        <f>IF(B19="","",IF(N(F19)&gt;=1,"Done",IF(G19="","On track",IF(G19&lt;0,"Exam passed",IF(G19&lt;=7,"Exam soon","On track")))))</f>
        <v/>
      </c>
    </row>
    <row r="20">
      <c r="B20" s="24" t="n"/>
      <c r="C20" s="25" t="n"/>
      <c r="D20" s="26" t="n"/>
      <c r="E20" s="27">
        <f>IF(B20="","",SUMIFS(Sessions!$C$5:$C$1004,Sessions!$B$5:$B$1004,B20)/60)</f>
        <v/>
      </c>
      <c r="F20" s="28">
        <f>IF(OR(B20="",N(D20)=0),"",MIN(1,E20/D20))</f>
        <v/>
      </c>
      <c r="G20" s="29">
        <f>IF(OR(B20="",C20=""),"",C20-TODAY())</f>
        <v/>
      </c>
      <c r="H20" s="27">
        <f>IF(OR(B20="",G20="",N(D20)=0),"",IF(G20&lt;=0,"",MAX(0,D20-E20)/G20))</f>
        <v/>
      </c>
      <c r="I20" s="21">
        <f>IF(B20="","",IF(N(F20)&gt;=1,"Done",IF(G20="","On track",IF(G20&lt;0,"Exam passed",IF(G20&lt;=7,"Exam soon","On track")))))</f>
        <v/>
      </c>
    </row>
    <row r="21">
      <c r="B21" s="24" t="n"/>
      <c r="C21" s="25" t="n"/>
      <c r="D21" s="26" t="n"/>
      <c r="E21" s="27">
        <f>IF(B21="","",SUMIFS(Sessions!$C$5:$C$1004,Sessions!$B$5:$B$1004,B21)/60)</f>
        <v/>
      </c>
      <c r="F21" s="28">
        <f>IF(OR(B21="",N(D21)=0),"",MIN(1,E21/D21))</f>
        <v/>
      </c>
      <c r="G21" s="29">
        <f>IF(OR(B21="",C21=""),"",C21-TODAY())</f>
        <v/>
      </c>
      <c r="H21" s="27">
        <f>IF(OR(B21="",G21="",N(D21)=0),"",IF(G21&lt;=0,"",MAX(0,D21-E21)/G21))</f>
        <v/>
      </c>
      <c r="I21" s="21">
        <f>IF(B21="","",IF(N(F21)&gt;=1,"Done",IF(G21="","On track",IF(G21&lt;0,"Exam passed",IF(G21&lt;=7,"Exam soon","On track")))))</f>
        <v/>
      </c>
    </row>
    <row r="22">
      <c r="B22" s="24" t="n"/>
      <c r="C22" s="25" t="n"/>
      <c r="D22" s="26" t="n"/>
      <c r="E22" s="27">
        <f>IF(B22="","",SUMIFS(Sessions!$C$5:$C$1004,Sessions!$B$5:$B$1004,B22)/60)</f>
        <v/>
      </c>
      <c r="F22" s="28">
        <f>IF(OR(B22="",N(D22)=0),"",MIN(1,E22/D22))</f>
        <v/>
      </c>
      <c r="G22" s="29">
        <f>IF(OR(B22="",C22=""),"",C22-TODAY())</f>
        <v/>
      </c>
      <c r="H22" s="27">
        <f>IF(OR(B22="",G22="",N(D22)=0),"",IF(G22&lt;=0,"",MAX(0,D22-E22)/G22))</f>
        <v/>
      </c>
      <c r="I22" s="21">
        <f>IF(B22="","",IF(N(F22)&gt;=1,"Done",IF(G22="","On track",IF(G22&lt;0,"Exam passed",IF(G22&lt;=7,"Exam soon","On track")))))</f>
        <v/>
      </c>
    </row>
    <row r="23">
      <c r="B23" s="24" t="n"/>
      <c r="C23" s="25" t="n"/>
      <c r="D23" s="26" t="n"/>
      <c r="E23" s="27">
        <f>IF(B23="","",SUMIFS(Sessions!$C$5:$C$1004,Sessions!$B$5:$B$1004,B23)/60)</f>
        <v/>
      </c>
      <c r="F23" s="28">
        <f>IF(OR(B23="",N(D23)=0),"",MIN(1,E23/D23))</f>
        <v/>
      </c>
      <c r="G23" s="29">
        <f>IF(OR(B23="",C23=""),"",C23-TODAY())</f>
        <v/>
      </c>
      <c r="H23" s="27">
        <f>IF(OR(B23="",G23="",N(D23)=0),"",IF(G23&lt;=0,"",MAX(0,D23-E23)/G23))</f>
        <v/>
      </c>
      <c r="I23" s="21">
        <f>IF(B23="","",IF(N(F23)&gt;=1,"Done",IF(G23="","On track",IF(G23&lt;0,"Exam passed",IF(G23&lt;=7,"Exam soon","On track")))))</f>
        <v/>
      </c>
    </row>
    <row r="24">
      <c r="B24" s="24" t="n"/>
      <c r="C24" s="25" t="n"/>
      <c r="D24" s="26" t="n"/>
      <c r="E24" s="27">
        <f>IF(B24="","",SUMIFS(Sessions!$C$5:$C$1004,Sessions!$B$5:$B$1004,B24)/60)</f>
        <v/>
      </c>
      <c r="F24" s="28">
        <f>IF(OR(B24="",N(D24)=0),"",MIN(1,E24/D24))</f>
        <v/>
      </c>
      <c r="G24" s="29">
        <f>IF(OR(B24="",C24=""),"",C24-TODAY())</f>
        <v/>
      </c>
      <c r="H24" s="27">
        <f>IF(OR(B24="",G24="",N(D24)=0),"",IF(G24&lt;=0,"",MAX(0,D24-E24)/G24))</f>
        <v/>
      </c>
      <c r="I24" s="21">
        <f>IF(B24="","",IF(N(F24)&gt;=1,"Done",IF(G24="","On track",IF(G24&lt;0,"Exam passed",IF(G24&lt;=7,"Exam soon","On track")))))</f>
        <v/>
      </c>
    </row>
  </sheetData>
  <conditionalFormatting sqref="F5:F24">
    <cfRule type="dataBar" priority="1">
      <dataBar>
        <cfvo type="num" val="0"/>
        <cfvo type="num" val="1"/>
        <color rgb="00F59E0B"/>
      </dataBar>
    </cfRule>
  </conditionalFormatting>
  <conditionalFormatting sqref="I5:I24">
    <cfRule type="cellIs" priority="2" operator="equal" dxfId="0">
      <formula>"Done"</formula>
    </cfRule>
    <cfRule type="cellIs" priority="3" operator="equal" dxfId="1">
      <formula>"Exam soon"</formula>
    </cfRule>
    <cfRule type="cellIs" priority="4" operator="equal" dxfId="2">
      <formula>"Exam passed"</formula>
    </cfRule>
  </conditionalFormatting>
  <dataValidations count="1">
    <dataValidation sqref="D5:D2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F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40" customWidth="1" min="4" max="4"/>
    <col width="11" customWidth="1" min="5" max="5"/>
    <col width="14" customWidth="1" min="6" max="6"/>
  </cols>
  <sheetData>
    <row r="1" ht="30" customHeight="1">
      <c r="A1" s="1" t="inlineStr">
        <is>
          <t>Study sessions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Log every session  ·  سجل جلسات المذاكرة</t>
        </is>
      </c>
      <c r="B2" s="2" t="n"/>
      <c r="C2" s="2" t="n"/>
      <c r="D2" s="2" t="n"/>
      <c r="E2" s="2" t="n"/>
      <c r="F2" s="2" t="n"/>
    </row>
    <row r="3">
      <c r="A3" s="11" t="inlineStr">
        <is>
          <t>Week starts on Saturday. Delete the sample rows when you start.</t>
        </is>
      </c>
    </row>
    <row r="4" ht="24" customHeight="1">
      <c r="A4" s="20" t="inlineStr">
        <is>
          <t>Date</t>
        </is>
      </c>
      <c r="B4" s="20" t="inlineStr">
        <is>
          <t>Subject</t>
        </is>
      </c>
      <c r="C4" s="20" t="inlineStr">
        <is>
          <t>Minutes</t>
        </is>
      </c>
      <c r="D4" s="20" t="inlineStr">
        <is>
          <t>Topic</t>
        </is>
      </c>
      <c r="E4" s="20" t="inlineStr">
        <is>
          <t>Focus (1–5)</t>
        </is>
      </c>
      <c r="F4" s="20" t="inlineStr">
        <is>
          <t>Week of</t>
        </is>
      </c>
    </row>
    <row r="5">
      <c r="A5" s="25" t="n">
        <v>46312</v>
      </c>
      <c r="B5" s="24" t="inlineStr">
        <is>
          <t>Mathematics</t>
        </is>
      </c>
      <c r="C5" s="26" t="n">
        <v>90</v>
      </c>
      <c r="D5" s="24" t="inlineStr">
        <is>
          <t>Integration by parts</t>
        </is>
      </c>
      <c r="E5" s="30" t="n">
        <v>4</v>
      </c>
      <c r="F5" s="31">
        <f>IF(A5="","",A5-MOD(WEEKDAY(A5),7))</f>
        <v/>
      </c>
    </row>
    <row r="6">
      <c r="A6" s="25" t="n">
        <v>46312</v>
      </c>
      <c r="B6" s="24" t="inlineStr">
        <is>
          <t>English</t>
        </is>
      </c>
      <c r="C6" s="26" t="n">
        <v>40</v>
      </c>
      <c r="D6" s="24" t="inlineStr">
        <is>
          <t>Essay practice</t>
        </is>
      </c>
      <c r="E6" s="30" t="n">
        <v>3</v>
      </c>
      <c r="F6" s="31">
        <f>IF(A6="","",A6-MOD(WEEKDAY(A6),7))</f>
        <v/>
      </c>
    </row>
    <row r="7">
      <c r="A7" s="25" t="n">
        <v>46313</v>
      </c>
      <c r="B7" s="24" t="inlineStr">
        <is>
          <t>Physics</t>
        </is>
      </c>
      <c r="C7" s="26" t="n">
        <v>75</v>
      </c>
      <c r="D7" s="24" t="inlineStr">
        <is>
          <t>Electric circuits</t>
        </is>
      </c>
      <c r="E7" s="30" t="n">
        <v>4</v>
      </c>
      <c r="F7" s="31">
        <f>IF(A7="","",A7-MOD(WEEKDAY(A7),7))</f>
        <v/>
      </c>
    </row>
    <row r="8">
      <c r="A8" s="25" t="n">
        <v>46314</v>
      </c>
      <c r="B8" s="24" t="inlineStr">
        <is>
          <t>Chemistry</t>
        </is>
      </c>
      <c r="C8" s="26" t="n">
        <v>60</v>
      </c>
      <c r="D8" s="24" t="inlineStr">
        <is>
          <t>Organic reactions</t>
        </is>
      </c>
      <c r="E8" s="30" t="n">
        <v>3</v>
      </c>
      <c r="F8" s="31">
        <f>IF(A8="","",A8-MOD(WEEKDAY(A8),7))</f>
        <v/>
      </c>
    </row>
    <row r="9">
      <c r="A9" s="25" t="n">
        <v>46315</v>
      </c>
      <c r="B9" s="24" t="inlineStr">
        <is>
          <t>Mathematics</t>
        </is>
      </c>
      <c r="C9" s="26" t="n">
        <v>120</v>
      </c>
      <c r="D9" s="24" t="inlineStr">
        <is>
          <t>Past paper 2024</t>
        </is>
      </c>
      <c r="E9" s="30" t="n">
        <v>5</v>
      </c>
      <c r="F9" s="31">
        <f>IF(A9="","",A9-MOD(WEEKDAY(A9),7))</f>
        <v/>
      </c>
    </row>
    <row r="10">
      <c r="A10" s="25" t="n">
        <v>46316</v>
      </c>
      <c r="B10" s="24" t="inlineStr">
        <is>
          <t>Arabic</t>
        </is>
      </c>
      <c r="C10" s="26" t="n">
        <v>45</v>
      </c>
      <c r="D10" s="24" t="inlineStr">
        <is>
          <t>Grammar revision</t>
        </is>
      </c>
      <c r="E10" s="30" t="n">
        <v>4</v>
      </c>
      <c r="F10" s="31">
        <f>IF(A10="","",A10-MOD(WEEKDAY(A10),7))</f>
        <v/>
      </c>
    </row>
    <row r="11">
      <c r="A11" s="25" t="n">
        <v>46317</v>
      </c>
      <c r="B11" s="24" t="inlineStr">
        <is>
          <t>Physics</t>
        </is>
      </c>
      <c r="C11" s="26" t="n">
        <v>60</v>
      </c>
      <c r="D11" s="24" t="inlineStr">
        <is>
          <t>Problem set 3</t>
        </is>
      </c>
      <c r="E11" s="30" t="n">
        <v>4</v>
      </c>
      <c r="F11" s="31">
        <f>IF(A11="","",A11-MOD(WEEKDAY(A11),7))</f>
        <v/>
      </c>
    </row>
    <row r="12">
      <c r="A12" s="25" t="n"/>
      <c r="B12" s="24" t="n"/>
      <c r="C12" s="26" t="n"/>
      <c r="D12" s="24" t="n"/>
      <c r="E12" s="30" t="n"/>
      <c r="F12" s="31">
        <f>IF(A12="","",A12-MOD(WEEKDAY(A12),7))</f>
        <v/>
      </c>
    </row>
    <row r="13">
      <c r="A13" s="25" t="n"/>
      <c r="B13" s="24" t="n"/>
      <c r="C13" s="26" t="n"/>
      <c r="D13" s="24" t="n"/>
      <c r="E13" s="30" t="n"/>
      <c r="F13" s="31">
        <f>IF(A13="","",A13-MOD(WEEKDAY(A13),7))</f>
        <v/>
      </c>
    </row>
    <row r="14">
      <c r="A14" s="25" t="n"/>
      <c r="B14" s="24" t="n"/>
      <c r="C14" s="26" t="n"/>
      <c r="D14" s="24" t="n"/>
      <c r="E14" s="30" t="n"/>
      <c r="F14" s="31">
        <f>IF(A14="","",A14-MOD(WEEKDAY(A14),7))</f>
        <v/>
      </c>
    </row>
    <row r="15">
      <c r="A15" s="25" t="n"/>
      <c r="B15" s="24" t="n"/>
      <c r="C15" s="26" t="n"/>
      <c r="D15" s="24" t="n"/>
      <c r="E15" s="30" t="n"/>
      <c r="F15" s="31">
        <f>IF(A15="","",A15-MOD(WEEKDAY(A15),7))</f>
        <v/>
      </c>
    </row>
    <row r="16">
      <c r="A16" s="25" t="n"/>
      <c r="B16" s="24" t="n"/>
      <c r="C16" s="26" t="n"/>
      <c r="D16" s="24" t="n"/>
      <c r="E16" s="30" t="n"/>
      <c r="F16" s="31">
        <f>IF(A16="","",A16-MOD(WEEKDAY(A16),7))</f>
        <v/>
      </c>
    </row>
    <row r="17">
      <c r="A17" s="25" t="n"/>
      <c r="B17" s="24" t="n"/>
      <c r="C17" s="26" t="n"/>
      <c r="D17" s="24" t="n"/>
      <c r="E17" s="30" t="n"/>
      <c r="F17" s="31">
        <f>IF(A17="","",A17-MOD(WEEKDAY(A17),7))</f>
        <v/>
      </c>
    </row>
    <row r="18">
      <c r="A18" s="25" t="n"/>
      <c r="B18" s="24" t="n"/>
      <c r="C18" s="26" t="n"/>
      <c r="D18" s="24" t="n"/>
      <c r="E18" s="30" t="n"/>
      <c r="F18" s="31">
        <f>IF(A18="","",A18-MOD(WEEKDAY(A18),7))</f>
        <v/>
      </c>
    </row>
    <row r="19">
      <c r="A19" s="25" t="n"/>
      <c r="B19" s="24" t="n"/>
      <c r="C19" s="26" t="n"/>
      <c r="D19" s="24" t="n"/>
      <c r="E19" s="30" t="n"/>
      <c r="F19" s="31">
        <f>IF(A19="","",A19-MOD(WEEKDAY(A19),7))</f>
        <v/>
      </c>
    </row>
    <row r="20">
      <c r="A20" s="25" t="n"/>
      <c r="B20" s="24" t="n"/>
      <c r="C20" s="26" t="n"/>
      <c r="D20" s="24" t="n"/>
      <c r="E20" s="30" t="n"/>
      <c r="F20" s="31">
        <f>IF(A20="","",A20-MOD(WEEKDAY(A20),7))</f>
        <v/>
      </c>
    </row>
    <row r="21">
      <c r="A21" s="25" t="n"/>
      <c r="B21" s="24" t="n"/>
      <c r="C21" s="26" t="n"/>
      <c r="D21" s="24" t="n"/>
      <c r="E21" s="30" t="n"/>
      <c r="F21" s="31">
        <f>IF(A21="","",A21-MOD(WEEKDAY(A21),7))</f>
        <v/>
      </c>
    </row>
    <row r="22">
      <c r="A22" s="25" t="n"/>
      <c r="B22" s="24" t="n"/>
      <c r="C22" s="26" t="n"/>
      <c r="D22" s="24" t="n"/>
      <c r="E22" s="30" t="n"/>
      <c r="F22" s="31">
        <f>IF(A22="","",A22-MOD(WEEKDAY(A22),7))</f>
        <v/>
      </c>
    </row>
    <row r="23">
      <c r="A23" s="25" t="n"/>
      <c r="B23" s="24" t="n"/>
      <c r="C23" s="26" t="n"/>
      <c r="D23" s="24" t="n"/>
      <c r="E23" s="30" t="n"/>
      <c r="F23" s="31">
        <f>IF(A23="","",A23-MOD(WEEKDAY(A23),7))</f>
        <v/>
      </c>
    </row>
    <row r="24">
      <c r="A24" s="25" t="n"/>
      <c r="B24" s="24" t="n"/>
      <c r="C24" s="26" t="n"/>
      <c r="D24" s="24" t="n"/>
      <c r="E24" s="30" t="n"/>
      <c r="F24" s="31">
        <f>IF(A24="","",A24-MOD(WEEKDAY(A24),7))</f>
        <v/>
      </c>
    </row>
    <row r="25">
      <c r="A25" s="25" t="n"/>
      <c r="B25" s="24" t="n"/>
      <c r="C25" s="26" t="n"/>
      <c r="D25" s="24" t="n"/>
      <c r="E25" s="30" t="n"/>
      <c r="F25" s="31">
        <f>IF(A25="","",A25-MOD(WEEKDAY(A25),7))</f>
        <v/>
      </c>
    </row>
    <row r="26">
      <c r="A26" s="25" t="n"/>
      <c r="B26" s="24" t="n"/>
      <c r="C26" s="26" t="n"/>
      <c r="D26" s="24" t="n"/>
      <c r="E26" s="30" t="n"/>
      <c r="F26" s="31">
        <f>IF(A26="","",A26-MOD(WEEKDAY(A26),7))</f>
        <v/>
      </c>
    </row>
    <row r="27">
      <c r="A27" s="25" t="n"/>
      <c r="B27" s="24" t="n"/>
      <c r="C27" s="26" t="n"/>
      <c r="D27" s="24" t="n"/>
      <c r="E27" s="30" t="n"/>
      <c r="F27" s="31">
        <f>IF(A27="","",A27-MOD(WEEKDAY(A27),7))</f>
        <v/>
      </c>
    </row>
    <row r="28">
      <c r="A28" s="25" t="n"/>
      <c r="B28" s="24" t="n"/>
      <c r="C28" s="26" t="n"/>
      <c r="D28" s="24" t="n"/>
      <c r="E28" s="30" t="n"/>
      <c r="F28" s="31">
        <f>IF(A28="","",A28-MOD(WEEKDAY(A28),7))</f>
        <v/>
      </c>
    </row>
    <row r="29">
      <c r="A29" s="25" t="n"/>
      <c r="B29" s="24" t="n"/>
      <c r="C29" s="26" t="n"/>
      <c r="D29" s="24" t="n"/>
      <c r="E29" s="30" t="n"/>
      <c r="F29" s="31">
        <f>IF(A29="","",A29-MOD(WEEKDAY(A29),7))</f>
        <v/>
      </c>
    </row>
    <row r="30">
      <c r="A30" s="25" t="n"/>
      <c r="B30" s="24" t="n"/>
      <c r="C30" s="26" t="n"/>
      <c r="D30" s="24" t="n"/>
      <c r="E30" s="30" t="n"/>
      <c r="F30" s="31">
        <f>IF(A30="","",A30-MOD(WEEKDAY(A30),7))</f>
        <v/>
      </c>
    </row>
    <row r="31">
      <c r="A31" s="25" t="n"/>
      <c r="B31" s="24" t="n"/>
      <c r="C31" s="26" t="n"/>
      <c r="D31" s="24" t="n"/>
      <c r="E31" s="30" t="n"/>
      <c r="F31" s="31">
        <f>IF(A31="","",A31-MOD(WEEKDAY(A31),7))</f>
        <v/>
      </c>
    </row>
    <row r="32">
      <c r="A32" s="25" t="n"/>
      <c r="B32" s="24" t="n"/>
      <c r="C32" s="26" t="n"/>
      <c r="D32" s="24" t="n"/>
      <c r="E32" s="30" t="n"/>
      <c r="F32" s="31">
        <f>IF(A32="","",A32-MOD(WEEKDAY(A32),7))</f>
        <v/>
      </c>
    </row>
    <row r="33">
      <c r="A33" s="25" t="n"/>
      <c r="B33" s="24" t="n"/>
      <c r="C33" s="26" t="n"/>
      <c r="D33" s="24" t="n"/>
      <c r="E33" s="30" t="n"/>
      <c r="F33" s="31">
        <f>IF(A33="","",A33-MOD(WEEKDAY(A33),7))</f>
        <v/>
      </c>
    </row>
    <row r="34">
      <c r="A34" s="25" t="n"/>
      <c r="B34" s="24" t="n"/>
      <c r="C34" s="26" t="n"/>
      <c r="D34" s="24" t="n"/>
      <c r="E34" s="30" t="n"/>
      <c r="F34" s="31">
        <f>IF(A34="","",A34-MOD(WEEKDAY(A34),7))</f>
        <v/>
      </c>
    </row>
    <row r="35">
      <c r="A35" s="25" t="n"/>
      <c r="B35" s="24" t="n"/>
      <c r="C35" s="26" t="n"/>
      <c r="D35" s="24" t="n"/>
      <c r="E35" s="30" t="n"/>
      <c r="F35" s="31">
        <f>IF(A35="","",A35-MOD(WEEKDAY(A35),7))</f>
        <v/>
      </c>
    </row>
    <row r="36">
      <c r="A36" s="25" t="n"/>
      <c r="B36" s="24" t="n"/>
      <c r="C36" s="26" t="n"/>
      <c r="D36" s="24" t="n"/>
      <c r="E36" s="30" t="n"/>
      <c r="F36" s="31">
        <f>IF(A36="","",A36-MOD(WEEKDAY(A36),7))</f>
        <v/>
      </c>
    </row>
    <row r="37">
      <c r="A37" s="25" t="n"/>
      <c r="B37" s="24" t="n"/>
      <c r="C37" s="26" t="n"/>
      <c r="D37" s="24" t="n"/>
      <c r="E37" s="30" t="n"/>
      <c r="F37" s="31">
        <f>IF(A37="","",A37-MOD(WEEKDAY(A37),7))</f>
        <v/>
      </c>
    </row>
    <row r="38">
      <c r="A38" s="25" t="n"/>
      <c r="B38" s="24" t="n"/>
      <c r="C38" s="26" t="n"/>
      <c r="D38" s="24" t="n"/>
      <c r="E38" s="30" t="n"/>
      <c r="F38" s="31">
        <f>IF(A38="","",A38-MOD(WEEKDAY(A38),7))</f>
        <v/>
      </c>
    </row>
    <row r="39">
      <c r="A39" s="25" t="n"/>
      <c r="B39" s="24" t="n"/>
      <c r="C39" s="26" t="n"/>
      <c r="D39" s="24" t="n"/>
      <c r="E39" s="30" t="n"/>
      <c r="F39" s="31">
        <f>IF(A39="","",A39-MOD(WEEKDAY(A39),7))</f>
        <v/>
      </c>
    </row>
    <row r="40">
      <c r="A40" s="25" t="n"/>
      <c r="B40" s="24" t="n"/>
      <c r="C40" s="26" t="n"/>
      <c r="D40" s="24" t="n"/>
      <c r="E40" s="30" t="n"/>
      <c r="F40" s="31">
        <f>IF(A40="","",A40-MOD(WEEKDAY(A40),7))</f>
        <v/>
      </c>
    </row>
    <row r="41">
      <c r="A41" s="25" t="n"/>
      <c r="B41" s="24" t="n"/>
      <c r="C41" s="26" t="n"/>
      <c r="D41" s="24" t="n"/>
      <c r="E41" s="30" t="n"/>
      <c r="F41" s="31">
        <f>IF(A41="","",A41-MOD(WEEKDAY(A41),7))</f>
        <v/>
      </c>
    </row>
    <row r="42">
      <c r="A42" s="25" t="n"/>
      <c r="B42" s="24" t="n"/>
      <c r="C42" s="26" t="n"/>
      <c r="D42" s="24" t="n"/>
      <c r="E42" s="30" t="n"/>
      <c r="F42" s="31">
        <f>IF(A42="","",A42-MOD(WEEKDAY(A42),7))</f>
        <v/>
      </c>
    </row>
    <row r="43">
      <c r="A43" s="25" t="n"/>
      <c r="B43" s="24" t="n"/>
      <c r="C43" s="26" t="n"/>
      <c r="D43" s="24" t="n"/>
      <c r="E43" s="30" t="n"/>
      <c r="F43" s="31">
        <f>IF(A43="","",A43-MOD(WEEKDAY(A43),7))</f>
        <v/>
      </c>
    </row>
    <row r="44">
      <c r="A44" s="25" t="n"/>
      <c r="B44" s="24" t="n"/>
      <c r="C44" s="26" t="n"/>
      <c r="D44" s="24" t="n"/>
      <c r="E44" s="30" t="n"/>
      <c r="F44" s="31">
        <f>IF(A44="","",A44-MOD(WEEKDAY(A44),7))</f>
        <v/>
      </c>
    </row>
    <row r="45">
      <c r="A45" s="25" t="n"/>
      <c r="B45" s="24" t="n"/>
      <c r="C45" s="26" t="n"/>
      <c r="D45" s="24" t="n"/>
      <c r="E45" s="30" t="n"/>
      <c r="F45" s="31">
        <f>IF(A45="","",A45-MOD(WEEKDAY(A45),7))</f>
        <v/>
      </c>
    </row>
    <row r="46">
      <c r="A46" s="25" t="n"/>
      <c r="B46" s="24" t="n"/>
      <c r="C46" s="26" t="n"/>
      <c r="D46" s="24" t="n"/>
      <c r="E46" s="30" t="n"/>
      <c r="F46" s="31">
        <f>IF(A46="","",A46-MOD(WEEKDAY(A46),7))</f>
        <v/>
      </c>
    </row>
    <row r="47">
      <c r="A47" s="25" t="n"/>
      <c r="B47" s="24" t="n"/>
      <c r="C47" s="26" t="n"/>
      <c r="D47" s="24" t="n"/>
      <c r="E47" s="30" t="n"/>
      <c r="F47" s="31">
        <f>IF(A47="","",A47-MOD(WEEKDAY(A47),7))</f>
        <v/>
      </c>
    </row>
    <row r="48">
      <c r="A48" s="25" t="n"/>
      <c r="B48" s="24" t="n"/>
      <c r="C48" s="26" t="n"/>
      <c r="D48" s="24" t="n"/>
      <c r="E48" s="30" t="n"/>
      <c r="F48" s="31">
        <f>IF(A48="","",A48-MOD(WEEKDAY(A48),7))</f>
        <v/>
      </c>
    </row>
    <row r="49">
      <c r="A49" s="25" t="n"/>
      <c r="B49" s="24" t="n"/>
      <c r="C49" s="26" t="n"/>
      <c r="D49" s="24" t="n"/>
      <c r="E49" s="30" t="n"/>
      <c r="F49" s="31">
        <f>IF(A49="","",A49-MOD(WEEKDAY(A49),7))</f>
        <v/>
      </c>
    </row>
    <row r="50">
      <c r="A50" s="25" t="n"/>
      <c r="B50" s="24" t="n"/>
      <c r="C50" s="26" t="n"/>
      <c r="D50" s="24" t="n"/>
      <c r="E50" s="30" t="n"/>
      <c r="F50" s="31">
        <f>IF(A50="","",A50-MOD(WEEKDAY(A50),7))</f>
        <v/>
      </c>
    </row>
    <row r="51">
      <c r="A51" s="25" t="n"/>
      <c r="B51" s="24" t="n"/>
      <c r="C51" s="26" t="n"/>
      <c r="D51" s="24" t="n"/>
      <c r="E51" s="30" t="n"/>
      <c r="F51" s="31">
        <f>IF(A51="","",A51-MOD(WEEKDAY(A51),7))</f>
        <v/>
      </c>
    </row>
    <row r="52">
      <c r="A52" s="25" t="n"/>
      <c r="B52" s="24" t="n"/>
      <c r="C52" s="26" t="n"/>
      <c r="D52" s="24" t="n"/>
      <c r="E52" s="30" t="n"/>
      <c r="F52" s="31">
        <f>IF(A52="","",A52-MOD(WEEKDAY(A52),7))</f>
        <v/>
      </c>
    </row>
    <row r="53">
      <c r="A53" s="25" t="n"/>
      <c r="B53" s="24" t="n"/>
      <c r="C53" s="26" t="n"/>
      <c r="D53" s="24" t="n"/>
      <c r="E53" s="30" t="n"/>
      <c r="F53" s="31">
        <f>IF(A53="","",A53-MOD(WEEKDAY(A53),7))</f>
        <v/>
      </c>
    </row>
    <row r="54">
      <c r="A54" s="25" t="n"/>
      <c r="B54" s="24" t="n"/>
      <c r="C54" s="26" t="n"/>
      <c r="D54" s="24" t="n"/>
      <c r="E54" s="30" t="n"/>
      <c r="F54" s="31">
        <f>IF(A54="","",A54-MOD(WEEKDAY(A54),7))</f>
        <v/>
      </c>
    </row>
    <row r="55">
      <c r="A55" s="25" t="n"/>
      <c r="B55" s="24" t="n"/>
      <c r="C55" s="26" t="n"/>
      <c r="D55" s="24" t="n"/>
      <c r="E55" s="30" t="n"/>
      <c r="F55" s="31">
        <f>IF(A55="","",A55-MOD(WEEKDAY(A55),7))</f>
        <v/>
      </c>
    </row>
    <row r="56">
      <c r="A56" s="25" t="n"/>
      <c r="B56" s="24" t="n"/>
      <c r="C56" s="26" t="n"/>
      <c r="D56" s="24" t="n"/>
      <c r="E56" s="30" t="n"/>
      <c r="F56" s="31">
        <f>IF(A56="","",A56-MOD(WEEKDAY(A56),7))</f>
        <v/>
      </c>
    </row>
    <row r="57">
      <c r="A57" s="25" t="n"/>
      <c r="B57" s="24" t="n"/>
      <c r="C57" s="26" t="n"/>
      <c r="D57" s="24" t="n"/>
      <c r="E57" s="30" t="n"/>
      <c r="F57" s="31">
        <f>IF(A57="","",A57-MOD(WEEKDAY(A57),7))</f>
        <v/>
      </c>
    </row>
    <row r="58">
      <c r="A58" s="25" t="n"/>
      <c r="B58" s="24" t="n"/>
      <c r="C58" s="26" t="n"/>
      <c r="D58" s="24" t="n"/>
      <c r="E58" s="30" t="n"/>
      <c r="F58" s="31">
        <f>IF(A58="","",A58-MOD(WEEKDAY(A58),7))</f>
        <v/>
      </c>
    </row>
    <row r="59">
      <c r="A59" s="25" t="n"/>
      <c r="B59" s="24" t="n"/>
      <c r="C59" s="26" t="n"/>
      <c r="D59" s="24" t="n"/>
      <c r="E59" s="30" t="n"/>
      <c r="F59" s="31">
        <f>IF(A59="","",A59-MOD(WEEKDAY(A59),7))</f>
        <v/>
      </c>
    </row>
    <row r="60">
      <c r="A60" s="25" t="n"/>
      <c r="B60" s="24" t="n"/>
      <c r="C60" s="26" t="n"/>
      <c r="D60" s="24" t="n"/>
      <c r="E60" s="30" t="n"/>
      <c r="F60" s="31">
        <f>IF(A60="","",A60-MOD(WEEKDAY(A60),7))</f>
        <v/>
      </c>
    </row>
    <row r="61">
      <c r="A61" s="25" t="n"/>
      <c r="B61" s="24" t="n"/>
      <c r="C61" s="26" t="n"/>
      <c r="D61" s="24" t="n"/>
      <c r="E61" s="30" t="n"/>
      <c r="F61" s="31">
        <f>IF(A61="","",A61-MOD(WEEKDAY(A61),7))</f>
        <v/>
      </c>
    </row>
    <row r="62">
      <c r="A62" s="25" t="n"/>
      <c r="B62" s="24" t="n"/>
      <c r="C62" s="26" t="n"/>
      <c r="D62" s="24" t="n"/>
      <c r="E62" s="30" t="n"/>
      <c r="F62" s="31">
        <f>IF(A62="","",A62-MOD(WEEKDAY(A62),7))</f>
        <v/>
      </c>
    </row>
    <row r="63">
      <c r="A63" s="25" t="n"/>
      <c r="B63" s="24" t="n"/>
      <c r="C63" s="26" t="n"/>
      <c r="D63" s="24" t="n"/>
      <c r="E63" s="30" t="n"/>
      <c r="F63" s="31">
        <f>IF(A63="","",A63-MOD(WEEKDAY(A63),7))</f>
        <v/>
      </c>
    </row>
    <row r="64">
      <c r="A64" s="25" t="n"/>
      <c r="B64" s="24" t="n"/>
      <c r="C64" s="26" t="n"/>
      <c r="D64" s="24" t="n"/>
      <c r="E64" s="30" t="n"/>
      <c r="F64" s="31">
        <f>IF(A64="","",A64-MOD(WEEKDAY(A64),7))</f>
        <v/>
      </c>
    </row>
    <row r="65">
      <c r="A65" s="25" t="n"/>
      <c r="B65" s="24" t="n"/>
      <c r="C65" s="26" t="n"/>
      <c r="D65" s="24" t="n"/>
      <c r="E65" s="30" t="n"/>
      <c r="F65" s="31">
        <f>IF(A65="","",A65-MOD(WEEKDAY(A65),7))</f>
        <v/>
      </c>
    </row>
    <row r="66">
      <c r="A66" s="25" t="n"/>
      <c r="B66" s="24" t="n"/>
      <c r="C66" s="26" t="n"/>
      <c r="D66" s="24" t="n"/>
      <c r="E66" s="30" t="n"/>
      <c r="F66" s="31">
        <f>IF(A66="","",A66-MOD(WEEKDAY(A66),7))</f>
        <v/>
      </c>
    </row>
    <row r="67">
      <c r="A67" s="25" t="n"/>
      <c r="B67" s="24" t="n"/>
      <c r="C67" s="26" t="n"/>
      <c r="D67" s="24" t="n"/>
      <c r="E67" s="30" t="n"/>
      <c r="F67" s="31">
        <f>IF(A67="","",A67-MOD(WEEKDAY(A67),7))</f>
        <v/>
      </c>
    </row>
    <row r="68">
      <c r="A68" s="25" t="n"/>
      <c r="B68" s="24" t="n"/>
      <c r="C68" s="26" t="n"/>
      <c r="D68" s="24" t="n"/>
      <c r="E68" s="30" t="n"/>
      <c r="F68" s="31">
        <f>IF(A68="","",A68-MOD(WEEKDAY(A68),7))</f>
        <v/>
      </c>
    </row>
    <row r="69">
      <c r="A69" s="25" t="n"/>
      <c r="B69" s="24" t="n"/>
      <c r="C69" s="26" t="n"/>
      <c r="D69" s="24" t="n"/>
      <c r="E69" s="30" t="n"/>
      <c r="F69" s="31">
        <f>IF(A69="","",A69-MOD(WEEKDAY(A69),7))</f>
        <v/>
      </c>
    </row>
    <row r="70">
      <c r="A70" s="25" t="n"/>
      <c r="B70" s="24" t="n"/>
      <c r="C70" s="26" t="n"/>
      <c r="D70" s="24" t="n"/>
      <c r="E70" s="30" t="n"/>
      <c r="F70" s="31">
        <f>IF(A70="","",A70-MOD(WEEKDAY(A70),7))</f>
        <v/>
      </c>
    </row>
    <row r="71">
      <c r="A71" s="25" t="n"/>
      <c r="B71" s="24" t="n"/>
      <c r="C71" s="26" t="n"/>
      <c r="D71" s="24" t="n"/>
      <c r="E71" s="30" t="n"/>
      <c r="F71" s="31">
        <f>IF(A71="","",A71-MOD(WEEKDAY(A71),7))</f>
        <v/>
      </c>
    </row>
    <row r="72">
      <c r="A72" s="25" t="n"/>
      <c r="B72" s="24" t="n"/>
      <c r="C72" s="26" t="n"/>
      <c r="D72" s="24" t="n"/>
      <c r="E72" s="30" t="n"/>
      <c r="F72" s="31">
        <f>IF(A72="","",A72-MOD(WEEKDAY(A72),7))</f>
        <v/>
      </c>
    </row>
    <row r="73">
      <c r="A73" s="25" t="n"/>
      <c r="B73" s="24" t="n"/>
      <c r="C73" s="26" t="n"/>
      <c r="D73" s="24" t="n"/>
      <c r="E73" s="30" t="n"/>
      <c r="F73" s="31">
        <f>IF(A73="","",A73-MOD(WEEKDAY(A73),7))</f>
        <v/>
      </c>
    </row>
    <row r="74">
      <c r="A74" s="25" t="n"/>
      <c r="B74" s="24" t="n"/>
      <c r="C74" s="26" t="n"/>
      <c r="D74" s="24" t="n"/>
      <c r="E74" s="30" t="n"/>
      <c r="F74" s="31">
        <f>IF(A74="","",A74-MOD(WEEKDAY(A74),7))</f>
        <v/>
      </c>
    </row>
    <row r="75">
      <c r="A75" s="25" t="n"/>
      <c r="B75" s="24" t="n"/>
      <c r="C75" s="26" t="n"/>
      <c r="D75" s="24" t="n"/>
      <c r="E75" s="30" t="n"/>
      <c r="F75" s="31">
        <f>IF(A75="","",A75-MOD(WEEKDAY(A75),7))</f>
        <v/>
      </c>
    </row>
    <row r="76">
      <c r="A76" s="25" t="n"/>
      <c r="B76" s="24" t="n"/>
      <c r="C76" s="26" t="n"/>
      <c r="D76" s="24" t="n"/>
      <c r="E76" s="30" t="n"/>
      <c r="F76" s="31">
        <f>IF(A76="","",A76-MOD(WEEKDAY(A76),7))</f>
        <v/>
      </c>
    </row>
    <row r="77">
      <c r="A77" s="25" t="n"/>
      <c r="B77" s="24" t="n"/>
      <c r="C77" s="26" t="n"/>
      <c r="D77" s="24" t="n"/>
      <c r="E77" s="30" t="n"/>
      <c r="F77" s="31">
        <f>IF(A77="","",A77-MOD(WEEKDAY(A77),7))</f>
        <v/>
      </c>
    </row>
    <row r="78">
      <c r="A78" s="25" t="n"/>
      <c r="B78" s="24" t="n"/>
      <c r="C78" s="26" t="n"/>
      <c r="D78" s="24" t="n"/>
      <c r="E78" s="30" t="n"/>
      <c r="F78" s="31">
        <f>IF(A78="","",A78-MOD(WEEKDAY(A78),7))</f>
        <v/>
      </c>
    </row>
    <row r="79">
      <c r="A79" s="25" t="n"/>
      <c r="B79" s="24" t="n"/>
      <c r="C79" s="26" t="n"/>
      <c r="D79" s="24" t="n"/>
      <c r="E79" s="30" t="n"/>
      <c r="F79" s="31">
        <f>IF(A79="","",A79-MOD(WEEKDAY(A79),7))</f>
        <v/>
      </c>
    </row>
    <row r="80">
      <c r="A80" s="25" t="n"/>
      <c r="B80" s="24" t="n"/>
      <c r="C80" s="26" t="n"/>
      <c r="D80" s="24" t="n"/>
      <c r="E80" s="30" t="n"/>
      <c r="F80" s="31">
        <f>IF(A80="","",A80-MOD(WEEKDAY(A80),7))</f>
        <v/>
      </c>
    </row>
    <row r="81">
      <c r="A81" s="25" t="n"/>
      <c r="B81" s="24" t="n"/>
      <c r="C81" s="26" t="n"/>
      <c r="D81" s="24" t="n"/>
      <c r="E81" s="30" t="n"/>
      <c r="F81" s="31">
        <f>IF(A81="","",A81-MOD(WEEKDAY(A81),7))</f>
        <v/>
      </c>
    </row>
    <row r="82">
      <c r="A82" s="25" t="n"/>
      <c r="B82" s="24" t="n"/>
      <c r="C82" s="26" t="n"/>
      <c r="D82" s="24" t="n"/>
      <c r="E82" s="30" t="n"/>
      <c r="F82" s="31">
        <f>IF(A82="","",A82-MOD(WEEKDAY(A82),7))</f>
        <v/>
      </c>
    </row>
    <row r="83">
      <c r="A83" s="25" t="n"/>
      <c r="B83" s="24" t="n"/>
      <c r="C83" s="26" t="n"/>
      <c r="D83" s="24" t="n"/>
      <c r="E83" s="30" t="n"/>
      <c r="F83" s="31">
        <f>IF(A83="","",A83-MOD(WEEKDAY(A83),7))</f>
        <v/>
      </c>
    </row>
    <row r="84">
      <c r="A84" s="25" t="n"/>
      <c r="B84" s="24" t="n"/>
      <c r="C84" s="26" t="n"/>
      <c r="D84" s="24" t="n"/>
      <c r="E84" s="30" t="n"/>
      <c r="F84" s="31">
        <f>IF(A84="","",A84-MOD(WEEKDAY(A84),7))</f>
        <v/>
      </c>
    </row>
    <row r="85">
      <c r="A85" s="25" t="n"/>
      <c r="B85" s="24" t="n"/>
      <c r="C85" s="26" t="n"/>
      <c r="D85" s="24" t="n"/>
      <c r="E85" s="30" t="n"/>
      <c r="F85" s="31">
        <f>IF(A85="","",A85-MOD(WEEKDAY(A85),7))</f>
        <v/>
      </c>
    </row>
    <row r="86">
      <c r="A86" s="25" t="n"/>
      <c r="B86" s="24" t="n"/>
      <c r="C86" s="26" t="n"/>
      <c r="D86" s="24" t="n"/>
      <c r="E86" s="30" t="n"/>
      <c r="F86" s="31">
        <f>IF(A86="","",A86-MOD(WEEKDAY(A86),7))</f>
        <v/>
      </c>
    </row>
    <row r="87">
      <c r="A87" s="25" t="n"/>
      <c r="B87" s="24" t="n"/>
      <c r="C87" s="26" t="n"/>
      <c r="D87" s="24" t="n"/>
      <c r="E87" s="30" t="n"/>
      <c r="F87" s="31">
        <f>IF(A87="","",A87-MOD(WEEKDAY(A87),7))</f>
        <v/>
      </c>
    </row>
    <row r="88">
      <c r="A88" s="25" t="n"/>
      <c r="B88" s="24" t="n"/>
      <c r="C88" s="26" t="n"/>
      <c r="D88" s="24" t="n"/>
      <c r="E88" s="30" t="n"/>
      <c r="F88" s="31">
        <f>IF(A88="","",A88-MOD(WEEKDAY(A88),7))</f>
        <v/>
      </c>
    </row>
    <row r="89">
      <c r="A89" s="25" t="n"/>
      <c r="B89" s="24" t="n"/>
      <c r="C89" s="26" t="n"/>
      <c r="D89" s="24" t="n"/>
      <c r="E89" s="30" t="n"/>
      <c r="F89" s="31">
        <f>IF(A89="","",A89-MOD(WEEKDAY(A89),7))</f>
        <v/>
      </c>
    </row>
    <row r="90">
      <c r="A90" s="25" t="n"/>
      <c r="B90" s="24" t="n"/>
      <c r="C90" s="26" t="n"/>
      <c r="D90" s="24" t="n"/>
      <c r="E90" s="30" t="n"/>
      <c r="F90" s="31">
        <f>IF(A90="","",A90-MOD(WEEKDAY(A90),7))</f>
        <v/>
      </c>
    </row>
    <row r="91">
      <c r="A91" s="25" t="n"/>
      <c r="B91" s="24" t="n"/>
      <c r="C91" s="26" t="n"/>
      <c r="D91" s="24" t="n"/>
      <c r="E91" s="30" t="n"/>
      <c r="F91" s="31">
        <f>IF(A91="","",A91-MOD(WEEKDAY(A91),7))</f>
        <v/>
      </c>
    </row>
    <row r="92">
      <c r="A92" s="25" t="n"/>
      <c r="B92" s="24" t="n"/>
      <c r="C92" s="26" t="n"/>
      <c r="D92" s="24" t="n"/>
      <c r="E92" s="30" t="n"/>
      <c r="F92" s="31">
        <f>IF(A92="","",A92-MOD(WEEKDAY(A92),7))</f>
        <v/>
      </c>
    </row>
    <row r="93">
      <c r="A93" s="25" t="n"/>
      <c r="B93" s="24" t="n"/>
      <c r="C93" s="26" t="n"/>
      <c r="D93" s="24" t="n"/>
      <c r="E93" s="30" t="n"/>
      <c r="F93" s="31">
        <f>IF(A93="","",A93-MOD(WEEKDAY(A93),7))</f>
        <v/>
      </c>
    </row>
    <row r="94">
      <c r="A94" s="25" t="n"/>
      <c r="B94" s="24" t="n"/>
      <c r="C94" s="26" t="n"/>
      <c r="D94" s="24" t="n"/>
      <c r="E94" s="30" t="n"/>
      <c r="F94" s="31">
        <f>IF(A94="","",A94-MOD(WEEKDAY(A94),7))</f>
        <v/>
      </c>
    </row>
    <row r="95">
      <c r="A95" s="25" t="n"/>
      <c r="B95" s="24" t="n"/>
      <c r="C95" s="26" t="n"/>
      <c r="D95" s="24" t="n"/>
      <c r="E95" s="30" t="n"/>
      <c r="F95" s="31">
        <f>IF(A95="","",A95-MOD(WEEKDAY(A95),7))</f>
        <v/>
      </c>
    </row>
    <row r="96">
      <c r="A96" s="25" t="n"/>
      <c r="B96" s="24" t="n"/>
      <c r="C96" s="26" t="n"/>
      <c r="D96" s="24" t="n"/>
      <c r="E96" s="30" t="n"/>
      <c r="F96" s="31">
        <f>IF(A96="","",A96-MOD(WEEKDAY(A96),7))</f>
        <v/>
      </c>
    </row>
    <row r="97">
      <c r="A97" s="25" t="n"/>
      <c r="B97" s="24" t="n"/>
      <c r="C97" s="26" t="n"/>
      <c r="D97" s="24" t="n"/>
      <c r="E97" s="30" t="n"/>
      <c r="F97" s="31">
        <f>IF(A97="","",A97-MOD(WEEKDAY(A97),7))</f>
        <v/>
      </c>
    </row>
    <row r="98">
      <c r="A98" s="25" t="n"/>
      <c r="B98" s="24" t="n"/>
      <c r="C98" s="26" t="n"/>
      <c r="D98" s="24" t="n"/>
      <c r="E98" s="30" t="n"/>
      <c r="F98" s="31">
        <f>IF(A98="","",A98-MOD(WEEKDAY(A98),7))</f>
        <v/>
      </c>
    </row>
    <row r="99">
      <c r="A99" s="25" t="n"/>
      <c r="B99" s="24" t="n"/>
      <c r="C99" s="26" t="n"/>
      <c r="D99" s="24" t="n"/>
      <c r="E99" s="30" t="n"/>
      <c r="F99" s="31">
        <f>IF(A99="","",A99-MOD(WEEKDAY(A99),7))</f>
        <v/>
      </c>
    </row>
    <row r="100">
      <c r="A100" s="25" t="n"/>
      <c r="B100" s="24" t="n"/>
      <c r="C100" s="26" t="n"/>
      <c r="D100" s="24" t="n"/>
      <c r="E100" s="30" t="n"/>
      <c r="F100" s="31">
        <f>IF(A100="","",A100-MOD(WEEKDAY(A100),7))</f>
        <v/>
      </c>
    </row>
    <row r="101">
      <c r="A101" s="25" t="n"/>
      <c r="B101" s="24" t="n"/>
      <c r="C101" s="26" t="n"/>
      <c r="D101" s="24" t="n"/>
      <c r="E101" s="30" t="n"/>
      <c r="F101" s="31">
        <f>IF(A101="","",A101-MOD(WEEKDAY(A101),7))</f>
        <v/>
      </c>
    </row>
    <row r="102">
      <c r="A102" s="25" t="n"/>
      <c r="B102" s="24" t="n"/>
      <c r="C102" s="26" t="n"/>
      <c r="D102" s="24" t="n"/>
      <c r="E102" s="30" t="n"/>
      <c r="F102" s="31">
        <f>IF(A102="","",A102-MOD(WEEKDAY(A102),7))</f>
        <v/>
      </c>
    </row>
    <row r="103">
      <c r="A103" s="25" t="n"/>
      <c r="B103" s="24" t="n"/>
      <c r="C103" s="26" t="n"/>
      <c r="D103" s="24" t="n"/>
      <c r="E103" s="30" t="n"/>
      <c r="F103" s="31">
        <f>IF(A103="","",A103-MOD(WEEKDAY(A103),7))</f>
        <v/>
      </c>
    </row>
    <row r="104">
      <c r="A104" s="25" t="n"/>
      <c r="B104" s="24" t="n"/>
      <c r="C104" s="26" t="n"/>
      <c r="D104" s="24" t="n"/>
      <c r="E104" s="30" t="n"/>
      <c r="F104" s="31">
        <f>IF(A104="","",A104-MOD(WEEKDAY(A104),7))</f>
        <v/>
      </c>
    </row>
    <row r="105">
      <c r="A105" s="25" t="n"/>
      <c r="B105" s="24" t="n"/>
      <c r="C105" s="26" t="n"/>
      <c r="D105" s="24" t="n"/>
      <c r="E105" s="30" t="n"/>
      <c r="F105" s="31">
        <f>IF(A105="","",A105-MOD(WEEKDAY(A105),7))</f>
        <v/>
      </c>
    </row>
    <row r="106">
      <c r="A106" s="25" t="n"/>
      <c r="B106" s="24" t="n"/>
      <c r="C106" s="26" t="n"/>
      <c r="D106" s="24" t="n"/>
      <c r="E106" s="30" t="n"/>
      <c r="F106" s="31">
        <f>IF(A106="","",A106-MOD(WEEKDAY(A106),7))</f>
        <v/>
      </c>
    </row>
    <row r="107">
      <c r="A107" s="25" t="n"/>
      <c r="B107" s="24" t="n"/>
      <c r="C107" s="26" t="n"/>
      <c r="D107" s="24" t="n"/>
      <c r="E107" s="30" t="n"/>
      <c r="F107" s="31">
        <f>IF(A107="","",A107-MOD(WEEKDAY(A107),7))</f>
        <v/>
      </c>
    </row>
    <row r="108">
      <c r="A108" s="25" t="n"/>
      <c r="B108" s="24" t="n"/>
      <c r="C108" s="26" t="n"/>
      <c r="D108" s="24" t="n"/>
      <c r="E108" s="30" t="n"/>
      <c r="F108" s="31">
        <f>IF(A108="","",A108-MOD(WEEKDAY(A108),7))</f>
        <v/>
      </c>
    </row>
    <row r="109">
      <c r="A109" s="25" t="n"/>
      <c r="B109" s="24" t="n"/>
      <c r="C109" s="26" t="n"/>
      <c r="D109" s="24" t="n"/>
      <c r="E109" s="30" t="n"/>
      <c r="F109" s="31">
        <f>IF(A109="","",A109-MOD(WEEKDAY(A109),7))</f>
        <v/>
      </c>
    </row>
    <row r="110">
      <c r="A110" s="25" t="n"/>
      <c r="B110" s="24" t="n"/>
      <c r="C110" s="26" t="n"/>
      <c r="D110" s="24" t="n"/>
      <c r="E110" s="30" t="n"/>
      <c r="F110" s="31">
        <f>IF(A110="","",A110-MOD(WEEKDAY(A110),7))</f>
        <v/>
      </c>
    </row>
    <row r="111">
      <c r="A111" s="25" t="n"/>
      <c r="B111" s="24" t="n"/>
      <c r="C111" s="26" t="n"/>
      <c r="D111" s="24" t="n"/>
      <c r="E111" s="30" t="n"/>
      <c r="F111" s="31">
        <f>IF(A111="","",A111-MOD(WEEKDAY(A111),7))</f>
        <v/>
      </c>
    </row>
    <row r="112">
      <c r="A112" s="25" t="n"/>
      <c r="B112" s="24" t="n"/>
      <c r="C112" s="26" t="n"/>
      <c r="D112" s="24" t="n"/>
      <c r="E112" s="30" t="n"/>
      <c r="F112" s="31">
        <f>IF(A112="","",A112-MOD(WEEKDAY(A112),7))</f>
        <v/>
      </c>
    </row>
    <row r="113">
      <c r="A113" s="25" t="n"/>
      <c r="B113" s="24" t="n"/>
      <c r="C113" s="26" t="n"/>
      <c r="D113" s="24" t="n"/>
      <c r="E113" s="30" t="n"/>
      <c r="F113" s="31">
        <f>IF(A113="","",A113-MOD(WEEKDAY(A113),7))</f>
        <v/>
      </c>
    </row>
    <row r="114">
      <c r="A114" s="25" t="n"/>
      <c r="B114" s="24" t="n"/>
      <c r="C114" s="26" t="n"/>
      <c r="D114" s="24" t="n"/>
      <c r="E114" s="30" t="n"/>
      <c r="F114" s="31">
        <f>IF(A114="","",A114-MOD(WEEKDAY(A114),7))</f>
        <v/>
      </c>
    </row>
    <row r="115">
      <c r="A115" s="25" t="n"/>
      <c r="B115" s="24" t="n"/>
      <c r="C115" s="26" t="n"/>
      <c r="D115" s="24" t="n"/>
      <c r="E115" s="30" t="n"/>
      <c r="F115" s="31">
        <f>IF(A115="","",A115-MOD(WEEKDAY(A115),7))</f>
        <v/>
      </c>
    </row>
    <row r="116">
      <c r="A116" s="25" t="n"/>
      <c r="B116" s="24" t="n"/>
      <c r="C116" s="26" t="n"/>
      <c r="D116" s="24" t="n"/>
      <c r="E116" s="30" t="n"/>
      <c r="F116" s="31">
        <f>IF(A116="","",A116-MOD(WEEKDAY(A116),7))</f>
        <v/>
      </c>
    </row>
    <row r="117">
      <c r="A117" s="25" t="n"/>
      <c r="B117" s="24" t="n"/>
      <c r="C117" s="26" t="n"/>
      <c r="D117" s="24" t="n"/>
      <c r="E117" s="30" t="n"/>
      <c r="F117" s="31">
        <f>IF(A117="","",A117-MOD(WEEKDAY(A117),7))</f>
        <v/>
      </c>
    </row>
    <row r="118">
      <c r="A118" s="25" t="n"/>
      <c r="B118" s="24" t="n"/>
      <c r="C118" s="26" t="n"/>
      <c r="D118" s="24" t="n"/>
      <c r="E118" s="30" t="n"/>
      <c r="F118" s="31">
        <f>IF(A118="","",A118-MOD(WEEKDAY(A118),7))</f>
        <v/>
      </c>
    </row>
    <row r="119">
      <c r="A119" s="25" t="n"/>
      <c r="B119" s="24" t="n"/>
      <c r="C119" s="26" t="n"/>
      <c r="D119" s="24" t="n"/>
      <c r="E119" s="30" t="n"/>
      <c r="F119" s="31">
        <f>IF(A119="","",A119-MOD(WEEKDAY(A119),7))</f>
        <v/>
      </c>
    </row>
    <row r="120">
      <c r="A120" s="25" t="n"/>
      <c r="B120" s="24" t="n"/>
      <c r="C120" s="26" t="n"/>
      <c r="D120" s="24" t="n"/>
      <c r="E120" s="30" t="n"/>
      <c r="F120" s="31">
        <f>IF(A120="","",A120-MOD(WEEKDAY(A120),7))</f>
        <v/>
      </c>
    </row>
    <row r="121">
      <c r="A121" s="25" t="n"/>
      <c r="B121" s="24" t="n"/>
      <c r="C121" s="26" t="n"/>
      <c r="D121" s="24" t="n"/>
      <c r="E121" s="30" t="n"/>
      <c r="F121" s="31">
        <f>IF(A121="","",A121-MOD(WEEKDAY(A121),7))</f>
        <v/>
      </c>
    </row>
    <row r="122">
      <c r="A122" s="25" t="n"/>
      <c r="B122" s="24" t="n"/>
      <c r="C122" s="26" t="n"/>
      <c r="D122" s="24" t="n"/>
      <c r="E122" s="30" t="n"/>
      <c r="F122" s="31">
        <f>IF(A122="","",A122-MOD(WEEKDAY(A122),7))</f>
        <v/>
      </c>
    </row>
    <row r="123">
      <c r="A123" s="25" t="n"/>
      <c r="B123" s="24" t="n"/>
      <c r="C123" s="26" t="n"/>
      <c r="D123" s="24" t="n"/>
      <c r="E123" s="30" t="n"/>
      <c r="F123" s="31">
        <f>IF(A123="","",A123-MOD(WEEKDAY(A123),7))</f>
        <v/>
      </c>
    </row>
    <row r="124">
      <c r="A124" s="25" t="n"/>
      <c r="B124" s="24" t="n"/>
      <c r="C124" s="26" t="n"/>
      <c r="D124" s="24" t="n"/>
      <c r="E124" s="30" t="n"/>
      <c r="F124" s="31">
        <f>IF(A124="","",A124-MOD(WEEKDAY(A124),7))</f>
        <v/>
      </c>
    </row>
    <row r="125">
      <c r="A125" s="25" t="n"/>
      <c r="B125" s="24" t="n"/>
      <c r="C125" s="26" t="n"/>
      <c r="D125" s="24" t="n"/>
      <c r="E125" s="30" t="n"/>
      <c r="F125" s="31">
        <f>IF(A125="","",A125-MOD(WEEKDAY(A125),7))</f>
        <v/>
      </c>
    </row>
    <row r="126">
      <c r="A126" s="25" t="n"/>
      <c r="B126" s="24" t="n"/>
      <c r="C126" s="26" t="n"/>
      <c r="D126" s="24" t="n"/>
      <c r="E126" s="30" t="n"/>
      <c r="F126" s="31">
        <f>IF(A126="","",A126-MOD(WEEKDAY(A126),7))</f>
        <v/>
      </c>
    </row>
    <row r="127">
      <c r="A127" s="25" t="n"/>
      <c r="B127" s="24" t="n"/>
      <c r="C127" s="26" t="n"/>
      <c r="D127" s="24" t="n"/>
      <c r="E127" s="30" t="n"/>
      <c r="F127" s="31">
        <f>IF(A127="","",A127-MOD(WEEKDAY(A127),7))</f>
        <v/>
      </c>
    </row>
    <row r="128">
      <c r="A128" s="25" t="n"/>
      <c r="B128" s="24" t="n"/>
      <c r="C128" s="26" t="n"/>
      <c r="D128" s="24" t="n"/>
      <c r="E128" s="30" t="n"/>
      <c r="F128" s="31">
        <f>IF(A128="","",A128-MOD(WEEKDAY(A128),7))</f>
        <v/>
      </c>
    </row>
    <row r="129">
      <c r="A129" s="25" t="n"/>
      <c r="B129" s="24" t="n"/>
      <c r="C129" s="26" t="n"/>
      <c r="D129" s="24" t="n"/>
      <c r="E129" s="30" t="n"/>
      <c r="F129" s="31">
        <f>IF(A129="","",A129-MOD(WEEKDAY(A129),7))</f>
        <v/>
      </c>
    </row>
    <row r="130">
      <c r="A130" s="25" t="n"/>
      <c r="B130" s="24" t="n"/>
      <c r="C130" s="26" t="n"/>
      <c r="D130" s="24" t="n"/>
      <c r="E130" s="30" t="n"/>
      <c r="F130" s="31">
        <f>IF(A130="","",A130-MOD(WEEKDAY(A130),7))</f>
        <v/>
      </c>
    </row>
    <row r="131">
      <c r="A131" s="25" t="n"/>
      <c r="B131" s="24" t="n"/>
      <c r="C131" s="26" t="n"/>
      <c r="D131" s="24" t="n"/>
      <c r="E131" s="30" t="n"/>
      <c r="F131" s="31">
        <f>IF(A131="","",A131-MOD(WEEKDAY(A131),7))</f>
        <v/>
      </c>
    </row>
    <row r="132">
      <c r="A132" s="25" t="n"/>
      <c r="B132" s="24" t="n"/>
      <c r="C132" s="26" t="n"/>
      <c r="D132" s="24" t="n"/>
      <c r="E132" s="30" t="n"/>
      <c r="F132" s="31">
        <f>IF(A132="","",A132-MOD(WEEKDAY(A132),7))</f>
        <v/>
      </c>
    </row>
    <row r="133">
      <c r="A133" s="25" t="n"/>
      <c r="B133" s="24" t="n"/>
      <c r="C133" s="26" t="n"/>
      <c r="D133" s="24" t="n"/>
      <c r="E133" s="30" t="n"/>
      <c r="F133" s="31">
        <f>IF(A133="","",A133-MOD(WEEKDAY(A133),7))</f>
        <v/>
      </c>
    </row>
    <row r="134">
      <c r="A134" s="25" t="n"/>
      <c r="B134" s="24" t="n"/>
      <c r="C134" s="26" t="n"/>
      <c r="D134" s="24" t="n"/>
      <c r="E134" s="30" t="n"/>
      <c r="F134" s="31">
        <f>IF(A134="","",A134-MOD(WEEKDAY(A134),7))</f>
        <v/>
      </c>
    </row>
    <row r="135">
      <c r="A135" s="25" t="n"/>
      <c r="B135" s="24" t="n"/>
      <c r="C135" s="26" t="n"/>
      <c r="D135" s="24" t="n"/>
      <c r="E135" s="30" t="n"/>
      <c r="F135" s="31">
        <f>IF(A135="","",A135-MOD(WEEKDAY(A135),7))</f>
        <v/>
      </c>
    </row>
    <row r="136">
      <c r="A136" s="25" t="n"/>
      <c r="B136" s="24" t="n"/>
      <c r="C136" s="26" t="n"/>
      <c r="D136" s="24" t="n"/>
      <c r="E136" s="30" t="n"/>
      <c r="F136" s="31">
        <f>IF(A136="","",A136-MOD(WEEKDAY(A136),7))</f>
        <v/>
      </c>
    </row>
    <row r="137">
      <c r="A137" s="25" t="n"/>
      <c r="B137" s="24" t="n"/>
      <c r="C137" s="26" t="n"/>
      <c r="D137" s="24" t="n"/>
      <c r="E137" s="30" t="n"/>
      <c r="F137" s="31">
        <f>IF(A137="","",A137-MOD(WEEKDAY(A137),7))</f>
        <v/>
      </c>
    </row>
    <row r="138">
      <c r="A138" s="25" t="n"/>
      <c r="B138" s="24" t="n"/>
      <c r="C138" s="26" t="n"/>
      <c r="D138" s="24" t="n"/>
      <c r="E138" s="30" t="n"/>
      <c r="F138" s="31">
        <f>IF(A138="","",A138-MOD(WEEKDAY(A138),7))</f>
        <v/>
      </c>
    </row>
    <row r="139">
      <c r="A139" s="25" t="n"/>
      <c r="B139" s="24" t="n"/>
      <c r="C139" s="26" t="n"/>
      <c r="D139" s="24" t="n"/>
      <c r="E139" s="30" t="n"/>
      <c r="F139" s="31">
        <f>IF(A139="","",A139-MOD(WEEKDAY(A139),7))</f>
        <v/>
      </c>
    </row>
    <row r="140">
      <c r="A140" s="25" t="n"/>
      <c r="B140" s="24" t="n"/>
      <c r="C140" s="26" t="n"/>
      <c r="D140" s="24" t="n"/>
      <c r="E140" s="30" t="n"/>
      <c r="F140" s="31">
        <f>IF(A140="","",A140-MOD(WEEKDAY(A140),7))</f>
        <v/>
      </c>
    </row>
    <row r="141">
      <c r="A141" s="25" t="n"/>
      <c r="B141" s="24" t="n"/>
      <c r="C141" s="26" t="n"/>
      <c r="D141" s="24" t="n"/>
      <c r="E141" s="30" t="n"/>
      <c r="F141" s="31">
        <f>IF(A141="","",A141-MOD(WEEKDAY(A141),7))</f>
        <v/>
      </c>
    </row>
    <row r="142">
      <c r="A142" s="25" t="n"/>
      <c r="B142" s="24" t="n"/>
      <c r="C142" s="26" t="n"/>
      <c r="D142" s="24" t="n"/>
      <c r="E142" s="30" t="n"/>
      <c r="F142" s="31">
        <f>IF(A142="","",A142-MOD(WEEKDAY(A142),7))</f>
        <v/>
      </c>
    </row>
    <row r="143">
      <c r="A143" s="25" t="n"/>
      <c r="B143" s="24" t="n"/>
      <c r="C143" s="26" t="n"/>
      <c r="D143" s="24" t="n"/>
      <c r="E143" s="30" t="n"/>
      <c r="F143" s="31">
        <f>IF(A143="","",A143-MOD(WEEKDAY(A143),7))</f>
        <v/>
      </c>
    </row>
    <row r="144">
      <c r="A144" s="25" t="n"/>
      <c r="B144" s="24" t="n"/>
      <c r="C144" s="26" t="n"/>
      <c r="D144" s="24" t="n"/>
      <c r="E144" s="30" t="n"/>
      <c r="F144" s="31">
        <f>IF(A144="","",A144-MOD(WEEKDAY(A144),7))</f>
        <v/>
      </c>
    </row>
    <row r="145">
      <c r="A145" s="25" t="n"/>
      <c r="B145" s="24" t="n"/>
      <c r="C145" s="26" t="n"/>
      <c r="D145" s="24" t="n"/>
      <c r="E145" s="30" t="n"/>
      <c r="F145" s="31">
        <f>IF(A145="","",A145-MOD(WEEKDAY(A145),7))</f>
        <v/>
      </c>
    </row>
    <row r="146">
      <c r="A146" s="25" t="n"/>
      <c r="B146" s="24" t="n"/>
      <c r="C146" s="26" t="n"/>
      <c r="D146" s="24" t="n"/>
      <c r="E146" s="30" t="n"/>
      <c r="F146" s="31">
        <f>IF(A146="","",A146-MOD(WEEKDAY(A146),7))</f>
        <v/>
      </c>
    </row>
    <row r="147">
      <c r="A147" s="25" t="n"/>
      <c r="B147" s="24" t="n"/>
      <c r="C147" s="26" t="n"/>
      <c r="D147" s="24" t="n"/>
      <c r="E147" s="30" t="n"/>
      <c r="F147" s="31">
        <f>IF(A147="","",A147-MOD(WEEKDAY(A147),7))</f>
        <v/>
      </c>
    </row>
    <row r="148">
      <c r="A148" s="25" t="n"/>
      <c r="B148" s="24" t="n"/>
      <c r="C148" s="26" t="n"/>
      <c r="D148" s="24" t="n"/>
      <c r="E148" s="30" t="n"/>
      <c r="F148" s="31">
        <f>IF(A148="","",A148-MOD(WEEKDAY(A148),7))</f>
        <v/>
      </c>
    </row>
    <row r="149">
      <c r="A149" s="25" t="n"/>
      <c r="B149" s="24" t="n"/>
      <c r="C149" s="26" t="n"/>
      <c r="D149" s="24" t="n"/>
      <c r="E149" s="30" t="n"/>
      <c r="F149" s="31">
        <f>IF(A149="","",A149-MOD(WEEKDAY(A149),7))</f>
        <v/>
      </c>
    </row>
    <row r="150">
      <c r="A150" s="25" t="n"/>
      <c r="B150" s="24" t="n"/>
      <c r="C150" s="26" t="n"/>
      <c r="D150" s="24" t="n"/>
      <c r="E150" s="30" t="n"/>
      <c r="F150" s="31">
        <f>IF(A150="","",A150-MOD(WEEKDAY(A150),7))</f>
        <v/>
      </c>
    </row>
    <row r="151">
      <c r="A151" s="25" t="n"/>
      <c r="B151" s="24" t="n"/>
      <c r="C151" s="26" t="n"/>
      <c r="D151" s="24" t="n"/>
      <c r="E151" s="30" t="n"/>
      <c r="F151" s="31">
        <f>IF(A151="","",A151-MOD(WEEKDAY(A151),7))</f>
        <v/>
      </c>
    </row>
    <row r="152">
      <c r="A152" s="25" t="n"/>
      <c r="B152" s="24" t="n"/>
      <c r="C152" s="26" t="n"/>
      <c r="D152" s="24" t="n"/>
      <c r="E152" s="30" t="n"/>
      <c r="F152" s="31">
        <f>IF(A152="","",A152-MOD(WEEKDAY(A152),7))</f>
        <v/>
      </c>
    </row>
    <row r="153">
      <c r="A153" s="25" t="n"/>
      <c r="B153" s="24" t="n"/>
      <c r="C153" s="26" t="n"/>
      <c r="D153" s="24" t="n"/>
      <c r="E153" s="30" t="n"/>
      <c r="F153" s="31">
        <f>IF(A153="","",A153-MOD(WEEKDAY(A153),7))</f>
        <v/>
      </c>
    </row>
    <row r="154">
      <c r="A154" s="25" t="n"/>
      <c r="B154" s="24" t="n"/>
      <c r="C154" s="26" t="n"/>
      <c r="D154" s="24" t="n"/>
      <c r="E154" s="30" t="n"/>
      <c r="F154" s="31">
        <f>IF(A154="","",A154-MOD(WEEKDAY(A154),7))</f>
        <v/>
      </c>
    </row>
    <row r="155">
      <c r="A155" s="25" t="n"/>
      <c r="B155" s="24" t="n"/>
      <c r="C155" s="26" t="n"/>
      <c r="D155" s="24" t="n"/>
      <c r="E155" s="30" t="n"/>
      <c r="F155" s="31">
        <f>IF(A155="","",A155-MOD(WEEKDAY(A155),7))</f>
        <v/>
      </c>
    </row>
    <row r="156">
      <c r="A156" s="25" t="n"/>
      <c r="B156" s="24" t="n"/>
      <c r="C156" s="26" t="n"/>
      <c r="D156" s="24" t="n"/>
      <c r="E156" s="30" t="n"/>
      <c r="F156" s="31">
        <f>IF(A156="","",A156-MOD(WEEKDAY(A156),7))</f>
        <v/>
      </c>
    </row>
    <row r="157">
      <c r="A157" s="25" t="n"/>
      <c r="B157" s="24" t="n"/>
      <c r="C157" s="26" t="n"/>
      <c r="D157" s="24" t="n"/>
      <c r="E157" s="30" t="n"/>
      <c r="F157" s="31">
        <f>IF(A157="","",A157-MOD(WEEKDAY(A157),7))</f>
        <v/>
      </c>
    </row>
    <row r="158">
      <c r="A158" s="25" t="n"/>
      <c r="B158" s="24" t="n"/>
      <c r="C158" s="26" t="n"/>
      <c r="D158" s="24" t="n"/>
      <c r="E158" s="30" t="n"/>
      <c r="F158" s="31">
        <f>IF(A158="","",A158-MOD(WEEKDAY(A158),7))</f>
        <v/>
      </c>
    </row>
    <row r="159">
      <c r="A159" s="25" t="n"/>
      <c r="B159" s="24" t="n"/>
      <c r="C159" s="26" t="n"/>
      <c r="D159" s="24" t="n"/>
      <c r="E159" s="30" t="n"/>
      <c r="F159" s="31">
        <f>IF(A159="","",A159-MOD(WEEKDAY(A159),7))</f>
        <v/>
      </c>
    </row>
    <row r="160">
      <c r="A160" s="25" t="n"/>
      <c r="B160" s="24" t="n"/>
      <c r="C160" s="26" t="n"/>
      <c r="D160" s="24" t="n"/>
      <c r="E160" s="30" t="n"/>
      <c r="F160" s="31">
        <f>IF(A160="","",A160-MOD(WEEKDAY(A160),7))</f>
        <v/>
      </c>
    </row>
    <row r="161">
      <c r="A161" s="25" t="n"/>
      <c r="B161" s="24" t="n"/>
      <c r="C161" s="26" t="n"/>
      <c r="D161" s="24" t="n"/>
      <c r="E161" s="30" t="n"/>
      <c r="F161" s="31">
        <f>IF(A161="","",A161-MOD(WEEKDAY(A161),7))</f>
        <v/>
      </c>
    </row>
    <row r="162">
      <c r="A162" s="25" t="n"/>
      <c r="B162" s="24" t="n"/>
      <c r="C162" s="26" t="n"/>
      <c r="D162" s="24" t="n"/>
      <c r="E162" s="30" t="n"/>
      <c r="F162" s="31">
        <f>IF(A162="","",A162-MOD(WEEKDAY(A162),7))</f>
        <v/>
      </c>
    </row>
    <row r="163">
      <c r="A163" s="25" t="n"/>
      <c r="B163" s="24" t="n"/>
      <c r="C163" s="26" t="n"/>
      <c r="D163" s="24" t="n"/>
      <c r="E163" s="30" t="n"/>
      <c r="F163" s="31">
        <f>IF(A163="","",A163-MOD(WEEKDAY(A163),7))</f>
        <v/>
      </c>
    </row>
    <row r="164">
      <c r="A164" s="25" t="n"/>
      <c r="B164" s="24" t="n"/>
      <c r="C164" s="26" t="n"/>
      <c r="D164" s="24" t="n"/>
      <c r="E164" s="30" t="n"/>
      <c r="F164" s="31">
        <f>IF(A164="","",A164-MOD(WEEKDAY(A164),7))</f>
        <v/>
      </c>
    </row>
    <row r="165">
      <c r="A165" s="25" t="n"/>
      <c r="B165" s="24" t="n"/>
      <c r="C165" s="26" t="n"/>
      <c r="D165" s="24" t="n"/>
      <c r="E165" s="30" t="n"/>
      <c r="F165" s="31">
        <f>IF(A165="","",A165-MOD(WEEKDAY(A165),7))</f>
        <v/>
      </c>
    </row>
    <row r="166">
      <c r="A166" s="25" t="n"/>
      <c r="B166" s="24" t="n"/>
      <c r="C166" s="26" t="n"/>
      <c r="D166" s="24" t="n"/>
      <c r="E166" s="30" t="n"/>
      <c r="F166" s="31">
        <f>IF(A166="","",A166-MOD(WEEKDAY(A166),7))</f>
        <v/>
      </c>
    </row>
    <row r="167">
      <c r="A167" s="25" t="n"/>
      <c r="B167" s="24" t="n"/>
      <c r="C167" s="26" t="n"/>
      <c r="D167" s="24" t="n"/>
      <c r="E167" s="30" t="n"/>
      <c r="F167" s="31">
        <f>IF(A167="","",A167-MOD(WEEKDAY(A167),7))</f>
        <v/>
      </c>
    </row>
    <row r="168">
      <c r="A168" s="25" t="n"/>
      <c r="B168" s="24" t="n"/>
      <c r="C168" s="26" t="n"/>
      <c r="D168" s="24" t="n"/>
      <c r="E168" s="30" t="n"/>
      <c r="F168" s="31">
        <f>IF(A168="","",A168-MOD(WEEKDAY(A168),7))</f>
        <v/>
      </c>
    </row>
    <row r="169">
      <c r="A169" s="25" t="n"/>
      <c r="B169" s="24" t="n"/>
      <c r="C169" s="26" t="n"/>
      <c r="D169" s="24" t="n"/>
      <c r="E169" s="30" t="n"/>
      <c r="F169" s="31">
        <f>IF(A169="","",A169-MOD(WEEKDAY(A169),7))</f>
        <v/>
      </c>
    </row>
    <row r="170">
      <c r="A170" s="25" t="n"/>
      <c r="B170" s="24" t="n"/>
      <c r="C170" s="26" t="n"/>
      <c r="D170" s="24" t="n"/>
      <c r="E170" s="30" t="n"/>
      <c r="F170" s="31">
        <f>IF(A170="","",A170-MOD(WEEKDAY(A170),7))</f>
        <v/>
      </c>
    </row>
    <row r="171">
      <c r="A171" s="25" t="n"/>
      <c r="B171" s="24" t="n"/>
      <c r="C171" s="26" t="n"/>
      <c r="D171" s="24" t="n"/>
      <c r="E171" s="30" t="n"/>
      <c r="F171" s="31">
        <f>IF(A171="","",A171-MOD(WEEKDAY(A171),7))</f>
        <v/>
      </c>
    </row>
    <row r="172">
      <c r="A172" s="25" t="n"/>
      <c r="B172" s="24" t="n"/>
      <c r="C172" s="26" t="n"/>
      <c r="D172" s="24" t="n"/>
      <c r="E172" s="30" t="n"/>
      <c r="F172" s="31">
        <f>IF(A172="","",A172-MOD(WEEKDAY(A172),7))</f>
        <v/>
      </c>
    </row>
    <row r="173">
      <c r="A173" s="25" t="n"/>
      <c r="B173" s="24" t="n"/>
      <c r="C173" s="26" t="n"/>
      <c r="D173" s="24" t="n"/>
      <c r="E173" s="30" t="n"/>
      <c r="F173" s="31">
        <f>IF(A173="","",A173-MOD(WEEKDAY(A173),7))</f>
        <v/>
      </c>
    </row>
    <row r="174">
      <c r="A174" s="25" t="n"/>
      <c r="B174" s="24" t="n"/>
      <c r="C174" s="26" t="n"/>
      <c r="D174" s="24" t="n"/>
      <c r="E174" s="30" t="n"/>
      <c r="F174" s="31">
        <f>IF(A174="","",A174-MOD(WEEKDAY(A174),7))</f>
        <v/>
      </c>
    </row>
    <row r="175">
      <c r="A175" s="25" t="n"/>
      <c r="B175" s="24" t="n"/>
      <c r="C175" s="26" t="n"/>
      <c r="D175" s="24" t="n"/>
      <c r="E175" s="30" t="n"/>
      <c r="F175" s="31">
        <f>IF(A175="","",A175-MOD(WEEKDAY(A175),7))</f>
        <v/>
      </c>
    </row>
    <row r="176">
      <c r="A176" s="25" t="n"/>
      <c r="B176" s="24" t="n"/>
      <c r="C176" s="26" t="n"/>
      <c r="D176" s="24" t="n"/>
      <c r="E176" s="30" t="n"/>
      <c r="F176" s="31">
        <f>IF(A176="","",A176-MOD(WEEKDAY(A176),7))</f>
        <v/>
      </c>
    </row>
    <row r="177">
      <c r="A177" s="25" t="n"/>
      <c r="B177" s="24" t="n"/>
      <c r="C177" s="26" t="n"/>
      <c r="D177" s="24" t="n"/>
      <c r="E177" s="30" t="n"/>
      <c r="F177" s="31">
        <f>IF(A177="","",A177-MOD(WEEKDAY(A177),7))</f>
        <v/>
      </c>
    </row>
    <row r="178">
      <c r="A178" s="25" t="n"/>
      <c r="B178" s="24" t="n"/>
      <c r="C178" s="26" t="n"/>
      <c r="D178" s="24" t="n"/>
      <c r="E178" s="30" t="n"/>
      <c r="F178" s="31">
        <f>IF(A178="","",A178-MOD(WEEKDAY(A178),7))</f>
        <v/>
      </c>
    </row>
    <row r="179">
      <c r="A179" s="25" t="n"/>
      <c r="B179" s="24" t="n"/>
      <c r="C179" s="26" t="n"/>
      <c r="D179" s="24" t="n"/>
      <c r="E179" s="30" t="n"/>
      <c r="F179" s="31">
        <f>IF(A179="","",A179-MOD(WEEKDAY(A179),7))</f>
        <v/>
      </c>
    </row>
    <row r="180">
      <c r="A180" s="25" t="n"/>
      <c r="B180" s="24" t="n"/>
      <c r="C180" s="26" t="n"/>
      <c r="D180" s="24" t="n"/>
      <c r="E180" s="30" t="n"/>
      <c r="F180" s="31">
        <f>IF(A180="","",A180-MOD(WEEKDAY(A180),7))</f>
        <v/>
      </c>
    </row>
    <row r="181">
      <c r="A181" s="25" t="n"/>
      <c r="B181" s="24" t="n"/>
      <c r="C181" s="26" t="n"/>
      <c r="D181" s="24" t="n"/>
      <c r="E181" s="30" t="n"/>
      <c r="F181" s="31">
        <f>IF(A181="","",A181-MOD(WEEKDAY(A181),7))</f>
        <v/>
      </c>
    </row>
    <row r="182">
      <c r="A182" s="25" t="n"/>
      <c r="B182" s="24" t="n"/>
      <c r="C182" s="26" t="n"/>
      <c r="D182" s="24" t="n"/>
      <c r="E182" s="30" t="n"/>
      <c r="F182" s="31">
        <f>IF(A182="","",A182-MOD(WEEKDAY(A182),7))</f>
        <v/>
      </c>
    </row>
    <row r="183">
      <c r="A183" s="25" t="n"/>
      <c r="B183" s="24" t="n"/>
      <c r="C183" s="26" t="n"/>
      <c r="D183" s="24" t="n"/>
      <c r="E183" s="30" t="n"/>
      <c r="F183" s="31">
        <f>IF(A183="","",A183-MOD(WEEKDAY(A183),7))</f>
        <v/>
      </c>
    </row>
    <row r="184">
      <c r="A184" s="25" t="n"/>
      <c r="B184" s="24" t="n"/>
      <c r="C184" s="26" t="n"/>
      <c r="D184" s="24" t="n"/>
      <c r="E184" s="30" t="n"/>
      <c r="F184" s="31">
        <f>IF(A184="","",A184-MOD(WEEKDAY(A184),7))</f>
        <v/>
      </c>
    </row>
    <row r="185">
      <c r="A185" s="25" t="n"/>
      <c r="B185" s="24" t="n"/>
      <c r="C185" s="26" t="n"/>
      <c r="D185" s="24" t="n"/>
      <c r="E185" s="30" t="n"/>
      <c r="F185" s="31">
        <f>IF(A185="","",A185-MOD(WEEKDAY(A185),7))</f>
        <v/>
      </c>
    </row>
    <row r="186">
      <c r="A186" s="25" t="n"/>
      <c r="B186" s="24" t="n"/>
      <c r="C186" s="26" t="n"/>
      <c r="D186" s="24" t="n"/>
      <c r="E186" s="30" t="n"/>
      <c r="F186" s="31">
        <f>IF(A186="","",A186-MOD(WEEKDAY(A186),7))</f>
        <v/>
      </c>
    </row>
    <row r="187">
      <c r="A187" s="25" t="n"/>
      <c r="B187" s="24" t="n"/>
      <c r="C187" s="26" t="n"/>
      <c r="D187" s="24" t="n"/>
      <c r="E187" s="30" t="n"/>
      <c r="F187" s="31">
        <f>IF(A187="","",A187-MOD(WEEKDAY(A187),7))</f>
        <v/>
      </c>
    </row>
    <row r="188">
      <c r="A188" s="25" t="n"/>
      <c r="B188" s="24" t="n"/>
      <c r="C188" s="26" t="n"/>
      <c r="D188" s="24" t="n"/>
      <c r="E188" s="30" t="n"/>
      <c r="F188" s="31">
        <f>IF(A188="","",A188-MOD(WEEKDAY(A188),7))</f>
        <v/>
      </c>
    </row>
    <row r="189">
      <c r="A189" s="25" t="n"/>
      <c r="B189" s="24" t="n"/>
      <c r="C189" s="26" t="n"/>
      <c r="D189" s="24" t="n"/>
      <c r="E189" s="30" t="n"/>
      <c r="F189" s="31">
        <f>IF(A189="","",A189-MOD(WEEKDAY(A189),7))</f>
        <v/>
      </c>
    </row>
    <row r="190">
      <c r="A190" s="25" t="n"/>
      <c r="B190" s="24" t="n"/>
      <c r="C190" s="26" t="n"/>
      <c r="D190" s="24" t="n"/>
      <c r="E190" s="30" t="n"/>
      <c r="F190" s="31">
        <f>IF(A190="","",A190-MOD(WEEKDAY(A190),7))</f>
        <v/>
      </c>
    </row>
    <row r="191">
      <c r="A191" s="25" t="n"/>
      <c r="B191" s="24" t="n"/>
      <c r="C191" s="26" t="n"/>
      <c r="D191" s="24" t="n"/>
      <c r="E191" s="30" t="n"/>
      <c r="F191" s="31">
        <f>IF(A191="","",A191-MOD(WEEKDAY(A191),7))</f>
        <v/>
      </c>
    </row>
    <row r="192">
      <c r="A192" s="25" t="n"/>
      <c r="B192" s="24" t="n"/>
      <c r="C192" s="26" t="n"/>
      <c r="D192" s="24" t="n"/>
      <c r="E192" s="30" t="n"/>
      <c r="F192" s="31">
        <f>IF(A192="","",A192-MOD(WEEKDAY(A192),7))</f>
        <v/>
      </c>
    </row>
    <row r="193">
      <c r="A193" s="25" t="n"/>
      <c r="B193" s="24" t="n"/>
      <c r="C193" s="26" t="n"/>
      <c r="D193" s="24" t="n"/>
      <c r="E193" s="30" t="n"/>
      <c r="F193" s="31">
        <f>IF(A193="","",A193-MOD(WEEKDAY(A193),7))</f>
        <v/>
      </c>
    </row>
    <row r="194">
      <c r="A194" s="25" t="n"/>
      <c r="B194" s="24" t="n"/>
      <c r="C194" s="26" t="n"/>
      <c r="D194" s="24" t="n"/>
      <c r="E194" s="30" t="n"/>
      <c r="F194" s="31">
        <f>IF(A194="","",A194-MOD(WEEKDAY(A194),7))</f>
        <v/>
      </c>
    </row>
    <row r="195">
      <c r="A195" s="25" t="n"/>
      <c r="B195" s="24" t="n"/>
      <c r="C195" s="26" t="n"/>
      <c r="D195" s="24" t="n"/>
      <c r="E195" s="30" t="n"/>
      <c r="F195" s="31">
        <f>IF(A195="","",A195-MOD(WEEKDAY(A195),7))</f>
        <v/>
      </c>
    </row>
    <row r="196">
      <c r="A196" s="25" t="n"/>
      <c r="B196" s="24" t="n"/>
      <c r="C196" s="26" t="n"/>
      <c r="D196" s="24" t="n"/>
      <c r="E196" s="30" t="n"/>
      <c r="F196" s="31">
        <f>IF(A196="","",A196-MOD(WEEKDAY(A196),7))</f>
        <v/>
      </c>
    </row>
    <row r="197">
      <c r="A197" s="25" t="n"/>
      <c r="B197" s="24" t="n"/>
      <c r="C197" s="26" t="n"/>
      <c r="D197" s="24" t="n"/>
      <c r="E197" s="30" t="n"/>
      <c r="F197" s="31">
        <f>IF(A197="","",A197-MOD(WEEKDAY(A197),7))</f>
        <v/>
      </c>
    </row>
    <row r="198">
      <c r="A198" s="25" t="n"/>
      <c r="B198" s="24" t="n"/>
      <c r="C198" s="26" t="n"/>
      <c r="D198" s="24" t="n"/>
      <c r="E198" s="30" t="n"/>
      <c r="F198" s="31">
        <f>IF(A198="","",A198-MOD(WEEKDAY(A198),7))</f>
        <v/>
      </c>
    </row>
    <row r="199">
      <c r="A199" s="25" t="n"/>
      <c r="B199" s="24" t="n"/>
      <c r="C199" s="26" t="n"/>
      <c r="D199" s="24" t="n"/>
      <c r="E199" s="30" t="n"/>
      <c r="F199" s="31">
        <f>IF(A199="","",A199-MOD(WEEKDAY(A199),7))</f>
        <v/>
      </c>
    </row>
    <row r="200">
      <c r="A200" s="25" t="n"/>
      <c r="B200" s="24" t="n"/>
      <c r="C200" s="26" t="n"/>
      <c r="D200" s="24" t="n"/>
      <c r="E200" s="30" t="n"/>
      <c r="F200" s="31">
        <f>IF(A200="","",A200-MOD(WEEKDAY(A200),7))</f>
        <v/>
      </c>
    </row>
    <row r="201">
      <c r="A201" s="25" t="n"/>
      <c r="B201" s="24" t="n"/>
      <c r="C201" s="26" t="n"/>
      <c r="D201" s="24" t="n"/>
      <c r="E201" s="30" t="n"/>
      <c r="F201" s="31">
        <f>IF(A201="","",A201-MOD(WEEKDAY(A201),7))</f>
        <v/>
      </c>
    </row>
    <row r="202">
      <c r="A202" s="25" t="n"/>
      <c r="B202" s="24" t="n"/>
      <c r="C202" s="26" t="n"/>
      <c r="D202" s="24" t="n"/>
      <c r="E202" s="30" t="n"/>
      <c r="F202" s="31">
        <f>IF(A202="","",A202-MOD(WEEKDAY(A202),7))</f>
        <v/>
      </c>
    </row>
    <row r="203">
      <c r="A203" s="25" t="n"/>
      <c r="B203" s="24" t="n"/>
      <c r="C203" s="26" t="n"/>
      <c r="D203" s="24" t="n"/>
      <c r="E203" s="30" t="n"/>
      <c r="F203" s="31">
        <f>IF(A203="","",A203-MOD(WEEKDAY(A203),7))</f>
        <v/>
      </c>
    </row>
    <row r="204">
      <c r="A204" s="25" t="n"/>
      <c r="B204" s="24" t="n"/>
      <c r="C204" s="26" t="n"/>
      <c r="D204" s="24" t="n"/>
      <c r="E204" s="30" t="n"/>
      <c r="F204" s="31">
        <f>IF(A204="","",A204-MOD(WEEKDAY(A204),7))</f>
        <v/>
      </c>
    </row>
    <row r="205">
      <c r="A205" s="25" t="n"/>
      <c r="B205" s="24" t="n"/>
      <c r="C205" s="26" t="n"/>
      <c r="D205" s="24" t="n"/>
      <c r="E205" s="30" t="n"/>
      <c r="F205" s="31">
        <f>IF(A205="","",A205-MOD(WEEKDAY(A205),7))</f>
        <v/>
      </c>
    </row>
    <row r="206">
      <c r="A206" s="25" t="n"/>
      <c r="B206" s="24" t="n"/>
      <c r="C206" s="26" t="n"/>
      <c r="D206" s="24" t="n"/>
      <c r="E206" s="30" t="n"/>
      <c r="F206" s="31">
        <f>IF(A206="","",A206-MOD(WEEKDAY(A206),7))</f>
        <v/>
      </c>
    </row>
    <row r="207">
      <c r="A207" s="25" t="n"/>
      <c r="B207" s="24" t="n"/>
      <c r="C207" s="26" t="n"/>
      <c r="D207" s="24" t="n"/>
      <c r="E207" s="30" t="n"/>
      <c r="F207" s="31">
        <f>IF(A207="","",A207-MOD(WEEKDAY(A207),7))</f>
        <v/>
      </c>
    </row>
    <row r="208">
      <c r="A208" s="25" t="n"/>
      <c r="B208" s="24" t="n"/>
      <c r="C208" s="26" t="n"/>
      <c r="D208" s="24" t="n"/>
      <c r="E208" s="30" t="n"/>
      <c r="F208" s="31">
        <f>IF(A208="","",A208-MOD(WEEKDAY(A208),7))</f>
        <v/>
      </c>
    </row>
    <row r="209">
      <c r="A209" s="25" t="n"/>
      <c r="B209" s="24" t="n"/>
      <c r="C209" s="26" t="n"/>
      <c r="D209" s="24" t="n"/>
      <c r="E209" s="30" t="n"/>
      <c r="F209" s="31">
        <f>IF(A209="","",A209-MOD(WEEKDAY(A209),7))</f>
        <v/>
      </c>
    </row>
    <row r="210">
      <c r="A210" s="25" t="n"/>
      <c r="B210" s="24" t="n"/>
      <c r="C210" s="26" t="n"/>
      <c r="D210" s="24" t="n"/>
      <c r="E210" s="30" t="n"/>
      <c r="F210" s="31">
        <f>IF(A210="","",A210-MOD(WEEKDAY(A210),7))</f>
        <v/>
      </c>
    </row>
    <row r="211">
      <c r="A211" s="25" t="n"/>
      <c r="B211" s="24" t="n"/>
      <c r="C211" s="26" t="n"/>
      <c r="D211" s="24" t="n"/>
      <c r="E211" s="30" t="n"/>
      <c r="F211" s="31">
        <f>IF(A211="","",A211-MOD(WEEKDAY(A211),7))</f>
        <v/>
      </c>
    </row>
    <row r="212">
      <c r="A212" s="25" t="n"/>
      <c r="B212" s="24" t="n"/>
      <c r="C212" s="26" t="n"/>
      <c r="D212" s="24" t="n"/>
      <c r="E212" s="30" t="n"/>
      <c r="F212" s="31">
        <f>IF(A212="","",A212-MOD(WEEKDAY(A212),7))</f>
        <v/>
      </c>
    </row>
    <row r="213">
      <c r="A213" s="25" t="n"/>
      <c r="B213" s="24" t="n"/>
      <c r="C213" s="26" t="n"/>
      <c r="D213" s="24" t="n"/>
      <c r="E213" s="30" t="n"/>
      <c r="F213" s="31">
        <f>IF(A213="","",A213-MOD(WEEKDAY(A213),7))</f>
        <v/>
      </c>
    </row>
    <row r="214">
      <c r="A214" s="25" t="n"/>
      <c r="B214" s="24" t="n"/>
      <c r="C214" s="26" t="n"/>
      <c r="D214" s="24" t="n"/>
      <c r="E214" s="30" t="n"/>
      <c r="F214" s="31">
        <f>IF(A214="","",A214-MOD(WEEKDAY(A214),7))</f>
        <v/>
      </c>
    </row>
    <row r="215">
      <c r="A215" s="25" t="n"/>
      <c r="B215" s="24" t="n"/>
      <c r="C215" s="26" t="n"/>
      <c r="D215" s="24" t="n"/>
      <c r="E215" s="30" t="n"/>
      <c r="F215" s="31">
        <f>IF(A215="","",A215-MOD(WEEKDAY(A215),7))</f>
        <v/>
      </c>
    </row>
    <row r="216">
      <c r="A216" s="25" t="n"/>
      <c r="B216" s="24" t="n"/>
      <c r="C216" s="26" t="n"/>
      <c r="D216" s="24" t="n"/>
      <c r="E216" s="30" t="n"/>
      <c r="F216" s="31">
        <f>IF(A216="","",A216-MOD(WEEKDAY(A216),7))</f>
        <v/>
      </c>
    </row>
    <row r="217">
      <c r="A217" s="25" t="n"/>
      <c r="B217" s="24" t="n"/>
      <c r="C217" s="26" t="n"/>
      <c r="D217" s="24" t="n"/>
      <c r="E217" s="30" t="n"/>
      <c r="F217" s="31">
        <f>IF(A217="","",A217-MOD(WEEKDAY(A217),7))</f>
        <v/>
      </c>
    </row>
    <row r="218">
      <c r="A218" s="25" t="n"/>
      <c r="B218" s="24" t="n"/>
      <c r="C218" s="26" t="n"/>
      <c r="D218" s="24" t="n"/>
      <c r="E218" s="30" t="n"/>
      <c r="F218" s="31">
        <f>IF(A218="","",A218-MOD(WEEKDAY(A218),7))</f>
        <v/>
      </c>
    </row>
    <row r="219">
      <c r="A219" s="25" t="n"/>
      <c r="B219" s="24" t="n"/>
      <c r="C219" s="26" t="n"/>
      <c r="D219" s="24" t="n"/>
      <c r="E219" s="30" t="n"/>
      <c r="F219" s="31">
        <f>IF(A219="","",A219-MOD(WEEKDAY(A219),7))</f>
        <v/>
      </c>
    </row>
    <row r="220">
      <c r="A220" s="25" t="n"/>
      <c r="B220" s="24" t="n"/>
      <c r="C220" s="26" t="n"/>
      <c r="D220" s="24" t="n"/>
      <c r="E220" s="30" t="n"/>
      <c r="F220" s="31">
        <f>IF(A220="","",A220-MOD(WEEKDAY(A220),7))</f>
        <v/>
      </c>
    </row>
    <row r="221">
      <c r="A221" s="25" t="n"/>
      <c r="B221" s="24" t="n"/>
      <c r="C221" s="26" t="n"/>
      <c r="D221" s="24" t="n"/>
      <c r="E221" s="30" t="n"/>
      <c r="F221" s="31">
        <f>IF(A221="","",A221-MOD(WEEKDAY(A221),7))</f>
        <v/>
      </c>
    </row>
    <row r="222">
      <c r="A222" s="25" t="n"/>
      <c r="B222" s="24" t="n"/>
      <c r="C222" s="26" t="n"/>
      <c r="D222" s="24" t="n"/>
      <c r="E222" s="30" t="n"/>
      <c r="F222" s="31">
        <f>IF(A222="","",A222-MOD(WEEKDAY(A222),7))</f>
        <v/>
      </c>
    </row>
    <row r="223">
      <c r="A223" s="25" t="n"/>
      <c r="B223" s="24" t="n"/>
      <c r="C223" s="26" t="n"/>
      <c r="D223" s="24" t="n"/>
      <c r="E223" s="30" t="n"/>
      <c r="F223" s="31">
        <f>IF(A223="","",A223-MOD(WEEKDAY(A223),7))</f>
        <v/>
      </c>
    </row>
    <row r="224">
      <c r="A224" s="25" t="n"/>
      <c r="B224" s="24" t="n"/>
      <c r="C224" s="26" t="n"/>
      <c r="D224" s="24" t="n"/>
      <c r="E224" s="30" t="n"/>
      <c r="F224" s="31">
        <f>IF(A224="","",A224-MOD(WEEKDAY(A224),7))</f>
        <v/>
      </c>
    </row>
    <row r="225">
      <c r="A225" s="25" t="n"/>
      <c r="B225" s="24" t="n"/>
      <c r="C225" s="26" t="n"/>
      <c r="D225" s="24" t="n"/>
      <c r="E225" s="30" t="n"/>
      <c r="F225" s="31">
        <f>IF(A225="","",A225-MOD(WEEKDAY(A225),7))</f>
        <v/>
      </c>
    </row>
    <row r="226">
      <c r="A226" s="25" t="n"/>
      <c r="B226" s="24" t="n"/>
      <c r="C226" s="26" t="n"/>
      <c r="D226" s="24" t="n"/>
      <c r="E226" s="30" t="n"/>
      <c r="F226" s="31">
        <f>IF(A226="","",A226-MOD(WEEKDAY(A226),7))</f>
        <v/>
      </c>
    </row>
    <row r="227">
      <c r="A227" s="25" t="n"/>
      <c r="B227" s="24" t="n"/>
      <c r="C227" s="26" t="n"/>
      <c r="D227" s="24" t="n"/>
      <c r="E227" s="30" t="n"/>
      <c r="F227" s="31">
        <f>IF(A227="","",A227-MOD(WEEKDAY(A227),7))</f>
        <v/>
      </c>
    </row>
    <row r="228">
      <c r="A228" s="25" t="n"/>
      <c r="B228" s="24" t="n"/>
      <c r="C228" s="26" t="n"/>
      <c r="D228" s="24" t="n"/>
      <c r="E228" s="30" t="n"/>
      <c r="F228" s="31">
        <f>IF(A228="","",A228-MOD(WEEKDAY(A228),7))</f>
        <v/>
      </c>
    </row>
    <row r="229">
      <c r="A229" s="25" t="n"/>
      <c r="B229" s="24" t="n"/>
      <c r="C229" s="26" t="n"/>
      <c r="D229" s="24" t="n"/>
      <c r="E229" s="30" t="n"/>
      <c r="F229" s="31">
        <f>IF(A229="","",A229-MOD(WEEKDAY(A229),7))</f>
        <v/>
      </c>
    </row>
    <row r="230">
      <c r="A230" s="25" t="n"/>
      <c r="B230" s="24" t="n"/>
      <c r="C230" s="26" t="n"/>
      <c r="D230" s="24" t="n"/>
      <c r="E230" s="30" t="n"/>
      <c r="F230" s="31">
        <f>IF(A230="","",A230-MOD(WEEKDAY(A230),7))</f>
        <v/>
      </c>
    </row>
    <row r="231">
      <c r="A231" s="25" t="n"/>
      <c r="B231" s="24" t="n"/>
      <c r="C231" s="26" t="n"/>
      <c r="D231" s="24" t="n"/>
      <c r="E231" s="30" t="n"/>
      <c r="F231" s="31">
        <f>IF(A231="","",A231-MOD(WEEKDAY(A231),7))</f>
        <v/>
      </c>
    </row>
    <row r="232">
      <c r="A232" s="25" t="n"/>
      <c r="B232" s="24" t="n"/>
      <c r="C232" s="26" t="n"/>
      <c r="D232" s="24" t="n"/>
      <c r="E232" s="30" t="n"/>
      <c r="F232" s="31">
        <f>IF(A232="","",A232-MOD(WEEKDAY(A232),7))</f>
        <v/>
      </c>
    </row>
    <row r="233">
      <c r="A233" s="25" t="n"/>
      <c r="B233" s="24" t="n"/>
      <c r="C233" s="26" t="n"/>
      <c r="D233" s="24" t="n"/>
      <c r="E233" s="30" t="n"/>
      <c r="F233" s="31">
        <f>IF(A233="","",A233-MOD(WEEKDAY(A233),7))</f>
        <v/>
      </c>
    </row>
    <row r="234">
      <c r="A234" s="25" t="n"/>
      <c r="B234" s="24" t="n"/>
      <c r="C234" s="26" t="n"/>
      <c r="D234" s="24" t="n"/>
      <c r="E234" s="30" t="n"/>
      <c r="F234" s="31">
        <f>IF(A234="","",A234-MOD(WEEKDAY(A234),7))</f>
        <v/>
      </c>
    </row>
    <row r="235">
      <c r="A235" s="25" t="n"/>
      <c r="B235" s="24" t="n"/>
      <c r="C235" s="26" t="n"/>
      <c r="D235" s="24" t="n"/>
      <c r="E235" s="30" t="n"/>
      <c r="F235" s="31">
        <f>IF(A235="","",A235-MOD(WEEKDAY(A235),7))</f>
        <v/>
      </c>
    </row>
    <row r="236">
      <c r="A236" s="25" t="n"/>
      <c r="B236" s="24" t="n"/>
      <c r="C236" s="26" t="n"/>
      <c r="D236" s="24" t="n"/>
      <c r="E236" s="30" t="n"/>
      <c r="F236" s="31">
        <f>IF(A236="","",A236-MOD(WEEKDAY(A236),7))</f>
        <v/>
      </c>
    </row>
    <row r="237">
      <c r="A237" s="25" t="n"/>
      <c r="B237" s="24" t="n"/>
      <c r="C237" s="26" t="n"/>
      <c r="D237" s="24" t="n"/>
      <c r="E237" s="30" t="n"/>
      <c r="F237" s="31">
        <f>IF(A237="","",A237-MOD(WEEKDAY(A237),7))</f>
        <v/>
      </c>
    </row>
    <row r="238">
      <c r="A238" s="25" t="n"/>
      <c r="B238" s="24" t="n"/>
      <c r="C238" s="26" t="n"/>
      <c r="D238" s="24" t="n"/>
      <c r="E238" s="30" t="n"/>
      <c r="F238" s="31">
        <f>IF(A238="","",A238-MOD(WEEKDAY(A238),7))</f>
        <v/>
      </c>
    </row>
    <row r="239">
      <c r="A239" s="25" t="n"/>
      <c r="B239" s="24" t="n"/>
      <c r="C239" s="26" t="n"/>
      <c r="D239" s="24" t="n"/>
      <c r="E239" s="30" t="n"/>
      <c r="F239" s="31">
        <f>IF(A239="","",A239-MOD(WEEKDAY(A239),7))</f>
        <v/>
      </c>
    </row>
    <row r="240">
      <c r="A240" s="25" t="n"/>
      <c r="B240" s="24" t="n"/>
      <c r="C240" s="26" t="n"/>
      <c r="D240" s="24" t="n"/>
      <c r="E240" s="30" t="n"/>
      <c r="F240" s="31">
        <f>IF(A240="","",A240-MOD(WEEKDAY(A240),7))</f>
        <v/>
      </c>
    </row>
    <row r="241">
      <c r="A241" s="25" t="n"/>
      <c r="B241" s="24" t="n"/>
      <c r="C241" s="26" t="n"/>
      <c r="D241" s="24" t="n"/>
      <c r="E241" s="30" t="n"/>
      <c r="F241" s="31">
        <f>IF(A241="","",A241-MOD(WEEKDAY(A241),7))</f>
        <v/>
      </c>
    </row>
    <row r="242">
      <c r="A242" s="25" t="n"/>
      <c r="B242" s="24" t="n"/>
      <c r="C242" s="26" t="n"/>
      <c r="D242" s="24" t="n"/>
      <c r="E242" s="30" t="n"/>
      <c r="F242" s="31">
        <f>IF(A242="","",A242-MOD(WEEKDAY(A242),7))</f>
        <v/>
      </c>
    </row>
    <row r="243">
      <c r="A243" s="25" t="n"/>
      <c r="B243" s="24" t="n"/>
      <c r="C243" s="26" t="n"/>
      <c r="D243" s="24" t="n"/>
      <c r="E243" s="30" t="n"/>
      <c r="F243" s="31">
        <f>IF(A243="","",A243-MOD(WEEKDAY(A243),7))</f>
        <v/>
      </c>
    </row>
    <row r="244">
      <c r="A244" s="25" t="n"/>
      <c r="B244" s="24" t="n"/>
      <c r="C244" s="26" t="n"/>
      <c r="D244" s="24" t="n"/>
      <c r="E244" s="30" t="n"/>
      <c r="F244" s="31">
        <f>IF(A244="","",A244-MOD(WEEKDAY(A244),7))</f>
        <v/>
      </c>
    </row>
    <row r="245">
      <c r="A245" s="25" t="n"/>
      <c r="B245" s="24" t="n"/>
      <c r="C245" s="26" t="n"/>
      <c r="D245" s="24" t="n"/>
      <c r="E245" s="30" t="n"/>
      <c r="F245" s="31">
        <f>IF(A245="","",A245-MOD(WEEKDAY(A245),7))</f>
        <v/>
      </c>
    </row>
    <row r="246">
      <c r="A246" s="25" t="n"/>
      <c r="B246" s="24" t="n"/>
      <c r="C246" s="26" t="n"/>
      <c r="D246" s="24" t="n"/>
      <c r="E246" s="30" t="n"/>
      <c r="F246" s="31">
        <f>IF(A246="","",A246-MOD(WEEKDAY(A246),7))</f>
        <v/>
      </c>
    </row>
    <row r="247">
      <c r="A247" s="25" t="n"/>
      <c r="B247" s="24" t="n"/>
      <c r="C247" s="26" t="n"/>
      <c r="D247" s="24" t="n"/>
      <c r="E247" s="30" t="n"/>
      <c r="F247" s="31">
        <f>IF(A247="","",A247-MOD(WEEKDAY(A247),7))</f>
        <v/>
      </c>
    </row>
    <row r="248">
      <c r="A248" s="25" t="n"/>
      <c r="B248" s="24" t="n"/>
      <c r="C248" s="26" t="n"/>
      <c r="D248" s="24" t="n"/>
      <c r="E248" s="30" t="n"/>
      <c r="F248" s="31">
        <f>IF(A248="","",A248-MOD(WEEKDAY(A248),7))</f>
        <v/>
      </c>
    </row>
    <row r="249">
      <c r="A249" s="25" t="n"/>
      <c r="B249" s="24" t="n"/>
      <c r="C249" s="26" t="n"/>
      <c r="D249" s="24" t="n"/>
      <c r="E249" s="30" t="n"/>
      <c r="F249" s="31">
        <f>IF(A249="","",A249-MOD(WEEKDAY(A249),7))</f>
        <v/>
      </c>
    </row>
    <row r="250">
      <c r="A250" s="25" t="n"/>
      <c r="B250" s="24" t="n"/>
      <c r="C250" s="26" t="n"/>
      <c r="D250" s="24" t="n"/>
      <c r="E250" s="30" t="n"/>
      <c r="F250" s="31">
        <f>IF(A250="","",A250-MOD(WEEKDAY(A250),7))</f>
        <v/>
      </c>
    </row>
    <row r="251">
      <c r="A251" s="25" t="n"/>
      <c r="B251" s="24" t="n"/>
      <c r="C251" s="26" t="n"/>
      <c r="D251" s="24" t="n"/>
      <c r="E251" s="30" t="n"/>
      <c r="F251" s="31">
        <f>IF(A251="","",A251-MOD(WEEKDAY(A251),7))</f>
        <v/>
      </c>
    </row>
    <row r="252">
      <c r="A252" s="25" t="n"/>
      <c r="B252" s="24" t="n"/>
      <c r="C252" s="26" t="n"/>
      <c r="D252" s="24" t="n"/>
      <c r="E252" s="30" t="n"/>
      <c r="F252" s="31">
        <f>IF(A252="","",A252-MOD(WEEKDAY(A252),7))</f>
        <v/>
      </c>
    </row>
    <row r="253">
      <c r="A253" s="25" t="n"/>
      <c r="B253" s="24" t="n"/>
      <c r="C253" s="26" t="n"/>
      <c r="D253" s="24" t="n"/>
      <c r="E253" s="30" t="n"/>
      <c r="F253" s="31">
        <f>IF(A253="","",A253-MOD(WEEKDAY(A253),7))</f>
        <v/>
      </c>
    </row>
    <row r="254">
      <c r="A254" s="25" t="n"/>
      <c r="B254" s="24" t="n"/>
      <c r="C254" s="26" t="n"/>
      <c r="D254" s="24" t="n"/>
      <c r="E254" s="30" t="n"/>
      <c r="F254" s="31">
        <f>IF(A254="","",A254-MOD(WEEKDAY(A254),7))</f>
        <v/>
      </c>
    </row>
    <row r="255">
      <c r="A255" s="25" t="n"/>
      <c r="B255" s="24" t="n"/>
      <c r="C255" s="26" t="n"/>
      <c r="D255" s="24" t="n"/>
      <c r="E255" s="30" t="n"/>
      <c r="F255" s="31">
        <f>IF(A255="","",A255-MOD(WEEKDAY(A255),7))</f>
        <v/>
      </c>
    </row>
    <row r="256">
      <c r="A256" s="25" t="n"/>
      <c r="B256" s="24" t="n"/>
      <c r="C256" s="26" t="n"/>
      <c r="D256" s="24" t="n"/>
      <c r="E256" s="30" t="n"/>
      <c r="F256" s="31">
        <f>IF(A256="","",A256-MOD(WEEKDAY(A256),7))</f>
        <v/>
      </c>
    </row>
    <row r="257">
      <c r="A257" s="25" t="n"/>
      <c r="B257" s="24" t="n"/>
      <c r="C257" s="26" t="n"/>
      <c r="D257" s="24" t="n"/>
      <c r="E257" s="30" t="n"/>
      <c r="F257" s="31">
        <f>IF(A257="","",A257-MOD(WEEKDAY(A257),7))</f>
        <v/>
      </c>
    </row>
    <row r="258">
      <c r="A258" s="25" t="n"/>
      <c r="B258" s="24" t="n"/>
      <c r="C258" s="26" t="n"/>
      <c r="D258" s="24" t="n"/>
      <c r="E258" s="30" t="n"/>
      <c r="F258" s="31">
        <f>IF(A258="","",A258-MOD(WEEKDAY(A258),7))</f>
        <v/>
      </c>
    </row>
    <row r="259">
      <c r="A259" s="25" t="n"/>
      <c r="B259" s="24" t="n"/>
      <c r="C259" s="26" t="n"/>
      <c r="D259" s="24" t="n"/>
      <c r="E259" s="30" t="n"/>
      <c r="F259" s="31">
        <f>IF(A259="","",A259-MOD(WEEKDAY(A259),7))</f>
        <v/>
      </c>
    </row>
    <row r="260">
      <c r="A260" s="25" t="n"/>
      <c r="B260" s="24" t="n"/>
      <c r="C260" s="26" t="n"/>
      <c r="D260" s="24" t="n"/>
      <c r="E260" s="30" t="n"/>
      <c r="F260" s="31">
        <f>IF(A260="","",A260-MOD(WEEKDAY(A260),7))</f>
        <v/>
      </c>
    </row>
    <row r="261">
      <c r="A261" s="25" t="n"/>
      <c r="B261" s="24" t="n"/>
      <c r="C261" s="26" t="n"/>
      <c r="D261" s="24" t="n"/>
      <c r="E261" s="30" t="n"/>
      <c r="F261" s="31">
        <f>IF(A261="","",A261-MOD(WEEKDAY(A261),7))</f>
        <v/>
      </c>
    </row>
    <row r="262">
      <c r="A262" s="25" t="n"/>
      <c r="B262" s="24" t="n"/>
      <c r="C262" s="26" t="n"/>
      <c r="D262" s="24" t="n"/>
      <c r="E262" s="30" t="n"/>
      <c r="F262" s="31">
        <f>IF(A262="","",A262-MOD(WEEKDAY(A262),7))</f>
        <v/>
      </c>
    </row>
    <row r="263">
      <c r="A263" s="25" t="n"/>
      <c r="B263" s="24" t="n"/>
      <c r="C263" s="26" t="n"/>
      <c r="D263" s="24" t="n"/>
      <c r="E263" s="30" t="n"/>
      <c r="F263" s="31">
        <f>IF(A263="","",A263-MOD(WEEKDAY(A263),7))</f>
        <v/>
      </c>
    </row>
    <row r="264">
      <c r="A264" s="25" t="n"/>
      <c r="B264" s="24" t="n"/>
      <c r="C264" s="26" t="n"/>
      <c r="D264" s="24" t="n"/>
      <c r="E264" s="30" t="n"/>
      <c r="F264" s="31">
        <f>IF(A264="","",A264-MOD(WEEKDAY(A264),7))</f>
        <v/>
      </c>
    </row>
    <row r="265">
      <c r="A265" s="25" t="n"/>
      <c r="B265" s="24" t="n"/>
      <c r="C265" s="26" t="n"/>
      <c r="D265" s="24" t="n"/>
      <c r="E265" s="30" t="n"/>
      <c r="F265" s="31">
        <f>IF(A265="","",A265-MOD(WEEKDAY(A265),7))</f>
        <v/>
      </c>
    </row>
    <row r="266">
      <c r="A266" s="25" t="n"/>
      <c r="B266" s="24" t="n"/>
      <c r="C266" s="26" t="n"/>
      <c r="D266" s="24" t="n"/>
      <c r="E266" s="30" t="n"/>
      <c r="F266" s="31">
        <f>IF(A266="","",A266-MOD(WEEKDAY(A266),7))</f>
        <v/>
      </c>
    </row>
    <row r="267">
      <c r="A267" s="25" t="n"/>
      <c r="B267" s="24" t="n"/>
      <c r="C267" s="26" t="n"/>
      <c r="D267" s="24" t="n"/>
      <c r="E267" s="30" t="n"/>
      <c r="F267" s="31">
        <f>IF(A267="","",A267-MOD(WEEKDAY(A267),7))</f>
        <v/>
      </c>
    </row>
    <row r="268">
      <c r="A268" s="25" t="n"/>
      <c r="B268" s="24" t="n"/>
      <c r="C268" s="26" t="n"/>
      <c r="D268" s="24" t="n"/>
      <c r="E268" s="30" t="n"/>
      <c r="F268" s="31">
        <f>IF(A268="","",A268-MOD(WEEKDAY(A268),7))</f>
        <v/>
      </c>
    </row>
    <row r="269">
      <c r="A269" s="25" t="n"/>
      <c r="B269" s="24" t="n"/>
      <c r="C269" s="26" t="n"/>
      <c r="D269" s="24" t="n"/>
      <c r="E269" s="30" t="n"/>
      <c r="F269" s="31">
        <f>IF(A269="","",A269-MOD(WEEKDAY(A269),7))</f>
        <v/>
      </c>
    </row>
    <row r="270">
      <c r="A270" s="25" t="n"/>
      <c r="B270" s="24" t="n"/>
      <c r="C270" s="26" t="n"/>
      <c r="D270" s="24" t="n"/>
      <c r="E270" s="30" t="n"/>
      <c r="F270" s="31">
        <f>IF(A270="","",A270-MOD(WEEKDAY(A270),7))</f>
        <v/>
      </c>
    </row>
    <row r="271">
      <c r="A271" s="25" t="n"/>
      <c r="B271" s="24" t="n"/>
      <c r="C271" s="26" t="n"/>
      <c r="D271" s="24" t="n"/>
      <c r="E271" s="30" t="n"/>
      <c r="F271" s="31">
        <f>IF(A271="","",A271-MOD(WEEKDAY(A271),7))</f>
        <v/>
      </c>
    </row>
    <row r="272">
      <c r="A272" s="25" t="n"/>
      <c r="B272" s="24" t="n"/>
      <c r="C272" s="26" t="n"/>
      <c r="D272" s="24" t="n"/>
      <c r="E272" s="30" t="n"/>
      <c r="F272" s="31">
        <f>IF(A272="","",A272-MOD(WEEKDAY(A272),7))</f>
        <v/>
      </c>
    </row>
    <row r="273">
      <c r="A273" s="25" t="n"/>
      <c r="B273" s="24" t="n"/>
      <c r="C273" s="26" t="n"/>
      <c r="D273" s="24" t="n"/>
      <c r="E273" s="30" t="n"/>
      <c r="F273" s="31">
        <f>IF(A273="","",A273-MOD(WEEKDAY(A273),7))</f>
        <v/>
      </c>
    </row>
    <row r="274">
      <c r="A274" s="25" t="n"/>
      <c r="B274" s="24" t="n"/>
      <c r="C274" s="26" t="n"/>
      <c r="D274" s="24" t="n"/>
      <c r="E274" s="30" t="n"/>
      <c r="F274" s="31">
        <f>IF(A274="","",A274-MOD(WEEKDAY(A274),7))</f>
        <v/>
      </c>
    </row>
    <row r="275">
      <c r="A275" s="25" t="n"/>
      <c r="B275" s="24" t="n"/>
      <c r="C275" s="26" t="n"/>
      <c r="D275" s="24" t="n"/>
      <c r="E275" s="30" t="n"/>
      <c r="F275" s="31">
        <f>IF(A275="","",A275-MOD(WEEKDAY(A275),7))</f>
        <v/>
      </c>
    </row>
    <row r="276">
      <c r="A276" s="25" t="n"/>
      <c r="B276" s="24" t="n"/>
      <c r="C276" s="26" t="n"/>
      <c r="D276" s="24" t="n"/>
      <c r="E276" s="30" t="n"/>
      <c r="F276" s="31">
        <f>IF(A276="","",A276-MOD(WEEKDAY(A276),7))</f>
        <v/>
      </c>
    </row>
    <row r="277">
      <c r="A277" s="25" t="n"/>
      <c r="B277" s="24" t="n"/>
      <c r="C277" s="26" t="n"/>
      <c r="D277" s="24" t="n"/>
      <c r="E277" s="30" t="n"/>
      <c r="F277" s="31">
        <f>IF(A277="","",A277-MOD(WEEKDAY(A277),7))</f>
        <v/>
      </c>
    </row>
    <row r="278">
      <c r="A278" s="25" t="n"/>
      <c r="B278" s="24" t="n"/>
      <c r="C278" s="26" t="n"/>
      <c r="D278" s="24" t="n"/>
      <c r="E278" s="30" t="n"/>
      <c r="F278" s="31">
        <f>IF(A278="","",A278-MOD(WEEKDAY(A278),7))</f>
        <v/>
      </c>
    </row>
    <row r="279">
      <c r="A279" s="25" t="n"/>
      <c r="B279" s="24" t="n"/>
      <c r="C279" s="26" t="n"/>
      <c r="D279" s="24" t="n"/>
      <c r="E279" s="30" t="n"/>
      <c r="F279" s="31">
        <f>IF(A279="","",A279-MOD(WEEKDAY(A279),7))</f>
        <v/>
      </c>
    </row>
    <row r="280">
      <c r="A280" s="25" t="n"/>
      <c r="B280" s="24" t="n"/>
      <c r="C280" s="26" t="n"/>
      <c r="D280" s="24" t="n"/>
      <c r="E280" s="30" t="n"/>
      <c r="F280" s="31">
        <f>IF(A280="","",A280-MOD(WEEKDAY(A280),7))</f>
        <v/>
      </c>
    </row>
    <row r="281">
      <c r="A281" s="25" t="n"/>
      <c r="B281" s="24" t="n"/>
      <c r="C281" s="26" t="n"/>
      <c r="D281" s="24" t="n"/>
      <c r="E281" s="30" t="n"/>
      <c r="F281" s="31">
        <f>IF(A281="","",A281-MOD(WEEKDAY(A281),7))</f>
        <v/>
      </c>
    </row>
    <row r="282">
      <c r="A282" s="25" t="n"/>
      <c r="B282" s="24" t="n"/>
      <c r="C282" s="26" t="n"/>
      <c r="D282" s="24" t="n"/>
      <c r="E282" s="30" t="n"/>
      <c r="F282" s="31">
        <f>IF(A282="","",A282-MOD(WEEKDAY(A282),7))</f>
        <v/>
      </c>
    </row>
    <row r="283">
      <c r="A283" s="25" t="n"/>
      <c r="B283" s="24" t="n"/>
      <c r="C283" s="26" t="n"/>
      <c r="D283" s="24" t="n"/>
      <c r="E283" s="30" t="n"/>
      <c r="F283" s="31">
        <f>IF(A283="","",A283-MOD(WEEKDAY(A283),7))</f>
        <v/>
      </c>
    </row>
    <row r="284">
      <c r="A284" s="25" t="n"/>
      <c r="B284" s="24" t="n"/>
      <c r="C284" s="26" t="n"/>
      <c r="D284" s="24" t="n"/>
      <c r="E284" s="30" t="n"/>
      <c r="F284" s="31">
        <f>IF(A284="","",A284-MOD(WEEKDAY(A284),7))</f>
        <v/>
      </c>
    </row>
    <row r="285">
      <c r="A285" s="25" t="n"/>
      <c r="B285" s="24" t="n"/>
      <c r="C285" s="26" t="n"/>
      <c r="D285" s="24" t="n"/>
      <c r="E285" s="30" t="n"/>
      <c r="F285" s="31">
        <f>IF(A285="","",A285-MOD(WEEKDAY(A285),7))</f>
        <v/>
      </c>
    </row>
    <row r="286">
      <c r="A286" s="25" t="n"/>
      <c r="B286" s="24" t="n"/>
      <c r="C286" s="26" t="n"/>
      <c r="D286" s="24" t="n"/>
      <c r="E286" s="30" t="n"/>
      <c r="F286" s="31">
        <f>IF(A286="","",A286-MOD(WEEKDAY(A286),7))</f>
        <v/>
      </c>
    </row>
    <row r="287">
      <c r="A287" s="25" t="n"/>
      <c r="B287" s="24" t="n"/>
      <c r="C287" s="26" t="n"/>
      <c r="D287" s="24" t="n"/>
      <c r="E287" s="30" t="n"/>
      <c r="F287" s="31">
        <f>IF(A287="","",A287-MOD(WEEKDAY(A287),7))</f>
        <v/>
      </c>
    </row>
    <row r="288">
      <c r="A288" s="25" t="n"/>
      <c r="B288" s="24" t="n"/>
      <c r="C288" s="26" t="n"/>
      <c r="D288" s="24" t="n"/>
      <c r="E288" s="30" t="n"/>
      <c r="F288" s="31">
        <f>IF(A288="","",A288-MOD(WEEKDAY(A288),7))</f>
        <v/>
      </c>
    </row>
    <row r="289">
      <c r="A289" s="25" t="n"/>
      <c r="B289" s="24" t="n"/>
      <c r="C289" s="26" t="n"/>
      <c r="D289" s="24" t="n"/>
      <c r="E289" s="30" t="n"/>
      <c r="F289" s="31">
        <f>IF(A289="","",A289-MOD(WEEKDAY(A289),7))</f>
        <v/>
      </c>
    </row>
    <row r="290">
      <c r="A290" s="25" t="n"/>
      <c r="B290" s="24" t="n"/>
      <c r="C290" s="26" t="n"/>
      <c r="D290" s="24" t="n"/>
      <c r="E290" s="30" t="n"/>
      <c r="F290" s="31">
        <f>IF(A290="","",A290-MOD(WEEKDAY(A290),7))</f>
        <v/>
      </c>
    </row>
    <row r="291">
      <c r="A291" s="25" t="n"/>
      <c r="B291" s="24" t="n"/>
      <c r="C291" s="26" t="n"/>
      <c r="D291" s="24" t="n"/>
      <c r="E291" s="30" t="n"/>
      <c r="F291" s="31">
        <f>IF(A291="","",A291-MOD(WEEKDAY(A291),7))</f>
        <v/>
      </c>
    </row>
    <row r="292">
      <c r="A292" s="25" t="n"/>
      <c r="B292" s="24" t="n"/>
      <c r="C292" s="26" t="n"/>
      <c r="D292" s="24" t="n"/>
      <c r="E292" s="30" t="n"/>
      <c r="F292" s="31">
        <f>IF(A292="","",A292-MOD(WEEKDAY(A292),7))</f>
        <v/>
      </c>
    </row>
    <row r="293">
      <c r="A293" s="25" t="n"/>
      <c r="B293" s="24" t="n"/>
      <c r="C293" s="26" t="n"/>
      <c r="D293" s="24" t="n"/>
      <c r="E293" s="30" t="n"/>
      <c r="F293" s="31">
        <f>IF(A293="","",A293-MOD(WEEKDAY(A293),7))</f>
        <v/>
      </c>
    </row>
    <row r="294">
      <c r="A294" s="25" t="n"/>
      <c r="B294" s="24" t="n"/>
      <c r="C294" s="26" t="n"/>
      <c r="D294" s="24" t="n"/>
      <c r="E294" s="30" t="n"/>
      <c r="F294" s="31">
        <f>IF(A294="","",A294-MOD(WEEKDAY(A294),7))</f>
        <v/>
      </c>
    </row>
    <row r="295">
      <c r="A295" s="25" t="n"/>
      <c r="B295" s="24" t="n"/>
      <c r="C295" s="26" t="n"/>
      <c r="D295" s="24" t="n"/>
      <c r="E295" s="30" t="n"/>
      <c r="F295" s="31">
        <f>IF(A295="","",A295-MOD(WEEKDAY(A295),7))</f>
        <v/>
      </c>
    </row>
    <row r="296">
      <c r="A296" s="25" t="n"/>
      <c r="B296" s="24" t="n"/>
      <c r="C296" s="26" t="n"/>
      <c r="D296" s="24" t="n"/>
      <c r="E296" s="30" t="n"/>
      <c r="F296" s="31">
        <f>IF(A296="","",A296-MOD(WEEKDAY(A296),7))</f>
        <v/>
      </c>
    </row>
    <row r="297">
      <c r="A297" s="25" t="n"/>
      <c r="B297" s="24" t="n"/>
      <c r="C297" s="26" t="n"/>
      <c r="D297" s="24" t="n"/>
      <c r="E297" s="30" t="n"/>
      <c r="F297" s="31">
        <f>IF(A297="","",A297-MOD(WEEKDAY(A297),7))</f>
        <v/>
      </c>
    </row>
    <row r="298">
      <c r="A298" s="25" t="n"/>
      <c r="B298" s="24" t="n"/>
      <c r="C298" s="26" t="n"/>
      <c r="D298" s="24" t="n"/>
      <c r="E298" s="30" t="n"/>
      <c r="F298" s="31">
        <f>IF(A298="","",A298-MOD(WEEKDAY(A298),7))</f>
        <v/>
      </c>
    </row>
    <row r="299">
      <c r="A299" s="25" t="n"/>
      <c r="B299" s="24" t="n"/>
      <c r="C299" s="26" t="n"/>
      <c r="D299" s="24" t="n"/>
      <c r="E299" s="30" t="n"/>
      <c r="F299" s="31">
        <f>IF(A299="","",A299-MOD(WEEKDAY(A299),7))</f>
        <v/>
      </c>
    </row>
    <row r="300">
      <c r="A300" s="25" t="n"/>
      <c r="B300" s="24" t="n"/>
      <c r="C300" s="26" t="n"/>
      <c r="D300" s="24" t="n"/>
      <c r="E300" s="30" t="n"/>
      <c r="F300" s="31">
        <f>IF(A300="","",A300-MOD(WEEKDAY(A300),7))</f>
        <v/>
      </c>
    </row>
    <row r="301">
      <c r="A301" s="25" t="n"/>
      <c r="B301" s="24" t="n"/>
      <c r="C301" s="26" t="n"/>
      <c r="D301" s="24" t="n"/>
      <c r="E301" s="30" t="n"/>
      <c r="F301" s="31">
        <f>IF(A301="","",A301-MOD(WEEKDAY(A301),7))</f>
        <v/>
      </c>
    </row>
    <row r="302">
      <c r="A302" s="25" t="n"/>
      <c r="B302" s="24" t="n"/>
      <c r="C302" s="26" t="n"/>
      <c r="D302" s="24" t="n"/>
      <c r="E302" s="30" t="n"/>
      <c r="F302" s="31">
        <f>IF(A302="","",A302-MOD(WEEKDAY(A302),7))</f>
        <v/>
      </c>
    </row>
    <row r="303">
      <c r="A303" s="25" t="n"/>
      <c r="B303" s="24" t="n"/>
      <c r="C303" s="26" t="n"/>
      <c r="D303" s="24" t="n"/>
      <c r="E303" s="30" t="n"/>
      <c r="F303" s="31">
        <f>IF(A303="","",A303-MOD(WEEKDAY(A303),7))</f>
        <v/>
      </c>
    </row>
    <row r="304">
      <c r="A304" s="25" t="n"/>
      <c r="B304" s="24" t="n"/>
      <c r="C304" s="26" t="n"/>
      <c r="D304" s="24" t="n"/>
      <c r="E304" s="30" t="n"/>
      <c r="F304" s="31">
        <f>IF(A304="","",A304-MOD(WEEKDAY(A304),7))</f>
        <v/>
      </c>
    </row>
    <row r="305">
      <c r="A305" s="25" t="n"/>
      <c r="B305" s="24" t="n"/>
      <c r="C305" s="26" t="n"/>
      <c r="D305" s="24" t="n"/>
      <c r="E305" s="30" t="n"/>
      <c r="F305" s="31">
        <f>IF(A305="","",A305-MOD(WEEKDAY(A305),7))</f>
        <v/>
      </c>
    </row>
    <row r="306">
      <c r="A306" s="25" t="n"/>
      <c r="B306" s="24" t="n"/>
      <c r="C306" s="26" t="n"/>
      <c r="D306" s="24" t="n"/>
      <c r="E306" s="30" t="n"/>
      <c r="F306" s="31">
        <f>IF(A306="","",A306-MOD(WEEKDAY(A306),7))</f>
        <v/>
      </c>
    </row>
    <row r="307">
      <c r="A307" s="25" t="n"/>
      <c r="B307" s="24" t="n"/>
      <c r="C307" s="26" t="n"/>
      <c r="D307" s="24" t="n"/>
      <c r="E307" s="30" t="n"/>
      <c r="F307" s="31">
        <f>IF(A307="","",A307-MOD(WEEKDAY(A307),7))</f>
        <v/>
      </c>
    </row>
    <row r="308">
      <c r="A308" s="25" t="n"/>
      <c r="B308" s="24" t="n"/>
      <c r="C308" s="26" t="n"/>
      <c r="D308" s="24" t="n"/>
      <c r="E308" s="30" t="n"/>
      <c r="F308" s="31">
        <f>IF(A308="","",A308-MOD(WEEKDAY(A308),7))</f>
        <v/>
      </c>
    </row>
    <row r="309">
      <c r="A309" s="25" t="n"/>
      <c r="B309" s="24" t="n"/>
      <c r="C309" s="26" t="n"/>
      <c r="D309" s="24" t="n"/>
      <c r="E309" s="30" t="n"/>
      <c r="F309" s="31">
        <f>IF(A309="","",A309-MOD(WEEKDAY(A309),7))</f>
        <v/>
      </c>
    </row>
    <row r="310">
      <c r="A310" s="25" t="n"/>
      <c r="B310" s="24" t="n"/>
      <c r="C310" s="26" t="n"/>
      <c r="D310" s="24" t="n"/>
      <c r="E310" s="30" t="n"/>
      <c r="F310" s="31">
        <f>IF(A310="","",A310-MOD(WEEKDAY(A310),7))</f>
        <v/>
      </c>
    </row>
    <row r="311">
      <c r="A311" s="25" t="n"/>
      <c r="B311" s="24" t="n"/>
      <c r="C311" s="26" t="n"/>
      <c r="D311" s="24" t="n"/>
      <c r="E311" s="30" t="n"/>
      <c r="F311" s="31">
        <f>IF(A311="","",A311-MOD(WEEKDAY(A311),7))</f>
        <v/>
      </c>
    </row>
    <row r="312">
      <c r="A312" s="25" t="n"/>
      <c r="B312" s="24" t="n"/>
      <c r="C312" s="26" t="n"/>
      <c r="D312" s="24" t="n"/>
      <c r="E312" s="30" t="n"/>
      <c r="F312" s="31">
        <f>IF(A312="","",A312-MOD(WEEKDAY(A312),7))</f>
        <v/>
      </c>
    </row>
    <row r="313">
      <c r="A313" s="25" t="n"/>
      <c r="B313" s="24" t="n"/>
      <c r="C313" s="26" t="n"/>
      <c r="D313" s="24" t="n"/>
      <c r="E313" s="30" t="n"/>
      <c r="F313" s="31">
        <f>IF(A313="","",A313-MOD(WEEKDAY(A313),7))</f>
        <v/>
      </c>
    </row>
    <row r="314">
      <c r="A314" s="25" t="n"/>
      <c r="B314" s="24" t="n"/>
      <c r="C314" s="26" t="n"/>
      <c r="D314" s="24" t="n"/>
      <c r="E314" s="30" t="n"/>
      <c r="F314" s="31">
        <f>IF(A314="","",A314-MOD(WEEKDAY(A314),7))</f>
        <v/>
      </c>
    </row>
    <row r="315">
      <c r="A315" s="25" t="n"/>
      <c r="B315" s="24" t="n"/>
      <c r="C315" s="26" t="n"/>
      <c r="D315" s="24" t="n"/>
      <c r="E315" s="30" t="n"/>
      <c r="F315" s="31">
        <f>IF(A315="","",A315-MOD(WEEKDAY(A315),7))</f>
        <v/>
      </c>
    </row>
    <row r="316">
      <c r="A316" s="25" t="n"/>
      <c r="B316" s="24" t="n"/>
      <c r="C316" s="26" t="n"/>
      <c r="D316" s="24" t="n"/>
      <c r="E316" s="30" t="n"/>
      <c r="F316" s="31">
        <f>IF(A316="","",A316-MOD(WEEKDAY(A316),7))</f>
        <v/>
      </c>
    </row>
    <row r="317">
      <c r="A317" s="25" t="n"/>
      <c r="B317" s="24" t="n"/>
      <c r="C317" s="26" t="n"/>
      <c r="D317" s="24" t="n"/>
      <c r="E317" s="30" t="n"/>
      <c r="F317" s="31">
        <f>IF(A317="","",A317-MOD(WEEKDAY(A317),7))</f>
        <v/>
      </c>
    </row>
    <row r="318">
      <c r="A318" s="25" t="n"/>
      <c r="B318" s="24" t="n"/>
      <c r="C318" s="26" t="n"/>
      <c r="D318" s="24" t="n"/>
      <c r="E318" s="30" t="n"/>
      <c r="F318" s="31">
        <f>IF(A318="","",A318-MOD(WEEKDAY(A318),7))</f>
        <v/>
      </c>
    </row>
    <row r="319">
      <c r="A319" s="25" t="n"/>
      <c r="B319" s="24" t="n"/>
      <c r="C319" s="26" t="n"/>
      <c r="D319" s="24" t="n"/>
      <c r="E319" s="30" t="n"/>
      <c r="F319" s="31">
        <f>IF(A319="","",A319-MOD(WEEKDAY(A319),7))</f>
        <v/>
      </c>
    </row>
    <row r="320">
      <c r="A320" s="25" t="n"/>
      <c r="B320" s="24" t="n"/>
      <c r="C320" s="26" t="n"/>
      <c r="D320" s="24" t="n"/>
      <c r="E320" s="30" t="n"/>
      <c r="F320" s="31">
        <f>IF(A320="","",A320-MOD(WEEKDAY(A320),7))</f>
        <v/>
      </c>
    </row>
    <row r="321">
      <c r="A321" s="25" t="n"/>
      <c r="B321" s="24" t="n"/>
      <c r="C321" s="26" t="n"/>
      <c r="D321" s="24" t="n"/>
      <c r="E321" s="30" t="n"/>
      <c r="F321" s="31">
        <f>IF(A321="","",A321-MOD(WEEKDAY(A321),7))</f>
        <v/>
      </c>
    </row>
    <row r="322">
      <c r="A322" s="25" t="n"/>
      <c r="B322" s="24" t="n"/>
      <c r="C322" s="26" t="n"/>
      <c r="D322" s="24" t="n"/>
      <c r="E322" s="30" t="n"/>
      <c r="F322" s="31">
        <f>IF(A322="","",A322-MOD(WEEKDAY(A322),7))</f>
        <v/>
      </c>
    </row>
    <row r="323">
      <c r="A323" s="25" t="n"/>
      <c r="B323" s="24" t="n"/>
      <c r="C323" s="26" t="n"/>
      <c r="D323" s="24" t="n"/>
      <c r="E323" s="30" t="n"/>
      <c r="F323" s="31">
        <f>IF(A323="","",A323-MOD(WEEKDAY(A323),7))</f>
        <v/>
      </c>
    </row>
    <row r="324">
      <c r="A324" s="25" t="n"/>
      <c r="B324" s="24" t="n"/>
      <c r="C324" s="26" t="n"/>
      <c r="D324" s="24" t="n"/>
      <c r="E324" s="30" t="n"/>
      <c r="F324" s="31">
        <f>IF(A324="","",A324-MOD(WEEKDAY(A324),7))</f>
        <v/>
      </c>
    </row>
    <row r="325">
      <c r="A325" s="25" t="n"/>
      <c r="B325" s="24" t="n"/>
      <c r="C325" s="26" t="n"/>
      <c r="D325" s="24" t="n"/>
      <c r="E325" s="30" t="n"/>
      <c r="F325" s="31">
        <f>IF(A325="","",A325-MOD(WEEKDAY(A325),7))</f>
        <v/>
      </c>
    </row>
    <row r="326">
      <c r="A326" s="25" t="n"/>
      <c r="B326" s="24" t="n"/>
      <c r="C326" s="26" t="n"/>
      <c r="D326" s="24" t="n"/>
      <c r="E326" s="30" t="n"/>
      <c r="F326" s="31">
        <f>IF(A326="","",A326-MOD(WEEKDAY(A326),7))</f>
        <v/>
      </c>
    </row>
    <row r="327">
      <c r="A327" s="25" t="n"/>
      <c r="B327" s="24" t="n"/>
      <c r="C327" s="26" t="n"/>
      <c r="D327" s="24" t="n"/>
      <c r="E327" s="30" t="n"/>
      <c r="F327" s="31">
        <f>IF(A327="","",A327-MOD(WEEKDAY(A327),7))</f>
        <v/>
      </c>
    </row>
    <row r="328">
      <c r="A328" s="25" t="n"/>
      <c r="B328" s="24" t="n"/>
      <c r="C328" s="26" t="n"/>
      <c r="D328" s="24" t="n"/>
      <c r="E328" s="30" t="n"/>
      <c r="F328" s="31">
        <f>IF(A328="","",A328-MOD(WEEKDAY(A328),7))</f>
        <v/>
      </c>
    </row>
    <row r="329">
      <c r="A329" s="25" t="n"/>
      <c r="B329" s="24" t="n"/>
      <c r="C329" s="26" t="n"/>
      <c r="D329" s="24" t="n"/>
      <c r="E329" s="30" t="n"/>
      <c r="F329" s="31">
        <f>IF(A329="","",A329-MOD(WEEKDAY(A329),7))</f>
        <v/>
      </c>
    </row>
    <row r="330">
      <c r="A330" s="25" t="n"/>
      <c r="B330" s="24" t="n"/>
      <c r="C330" s="26" t="n"/>
      <c r="D330" s="24" t="n"/>
      <c r="E330" s="30" t="n"/>
      <c r="F330" s="31">
        <f>IF(A330="","",A330-MOD(WEEKDAY(A330),7))</f>
        <v/>
      </c>
    </row>
    <row r="331">
      <c r="A331" s="25" t="n"/>
      <c r="B331" s="24" t="n"/>
      <c r="C331" s="26" t="n"/>
      <c r="D331" s="24" t="n"/>
      <c r="E331" s="30" t="n"/>
      <c r="F331" s="31">
        <f>IF(A331="","",A331-MOD(WEEKDAY(A331),7))</f>
        <v/>
      </c>
    </row>
    <row r="332">
      <c r="A332" s="25" t="n"/>
      <c r="B332" s="24" t="n"/>
      <c r="C332" s="26" t="n"/>
      <c r="D332" s="24" t="n"/>
      <c r="E332" s="30" t="n"/>
      <c r="F332" s="31">
        <f>IF(A332="","",A332-MOD(WEEKDAY(A332),7))</f>
        <v/>
      </c>
    </row>
    <row r="333">
      <c r="A333" s="25" t="n"/>
      <c r="B333" s="24" t="n"/>
      <c r="C333" s="26" t="n"/>
      <c r="D333" s="24" t="n"/>
      <c r="E333" s="30" t="n"/>
      <c r="F333" s="31">
        <f>IF(A333="","",A333-MOD(WEEKDAY(A333),7))</f>
        <v/>
      </c>
    </row>
    <row r="334">
      <c r="A334" s="25" t="n"/>
      <c r="B334" s="24" t="n"/>
      <c r="C334" s="26" t="n"/>
      <c r="D334" s="24" t="n"/>
      <c r="E334" s="30" t="n"/>
      <c r="F334" s="31">
        <f>IF(A334="","",A334-MOD(WEEKDAY(A334),7))</f>
        <v/>
      </c>
    </row>
    <row r="335">
      <c r="A335" s="25" t="n"/>
      <c r="B335" s="24" t="n"/>
      <c r="C335" s="26" t="n"/>
      <c r="D335" s="24" t="n"/>
      <c r="E335" s="30" t="n"/>
      <c r="F335" s="31">
        <f>IF(A335="","",A335-MOD(WEEKDAY(A335),7))</f>
        <v/>
      </c>
    </row>
    <row r="336">
      <c r="A336" s="25" t="n"/>
      <c r="B336" s="24" t="n"/>
      <c r="C336" s="26" t="n"/>
      <c r="D336" s="24" t="n"/>
      <c r="E336" s="30" t="n"/>
      <c r="F336" s="31">
        <f>IF(A336="","",A336-MOD(WEEKDAY(A336),7))</f>
        <v/>
      </c>
    </row>
    <row r="337">
      <c r="A337" s="25" t="n"/>
      <c r="B337" s="24" t="n"/>
      <c r="C337" s="26" t="n"/>
      <c r="D337" s="24" t="n"/>
      <c r="E337" s="30" t="n"/>
      <c r="F337" s="31">
        <f>IF(A337="","",A337-MOD(WEEKDAY(A337),7))</f>
        <v/>
      </c>
    </row>
    <row r="338">
      <c r="A338" s="25" t="n"/>
      <c r="B338" s="24" t="n"/>
      <c r="C338" s="26" t="n"/>
      <c r="D338" s="24" t="n"/>
      <c r="E338" s="30" t="n"/>
      <c r="F338" s="31">
        <f>IF(A338="","",A338-MOD(WEEKDAY(A338),7))</f>
        <v/>
      </c>
    </row>
    <row r="339">
      <c r="A339" s="25" t="n"/>
      <c r="B339" s="24" t="n"/>
      <c r="C339" s="26" t="n"/>
      <c r="D339" s="24" t="n"/>
      <c r="E339" s="30" t="n"/>
      <c r="F339" s="31">
        <f>IF(A339="","",A339-MOD(WEEKDAY(A339),7))</f>
        <v/>
      </c>
    </row>
    <row r="340">
      <c r="A340" s="25" t="n"/>
      <c r="B340" s="24" t="n"/>
      <c r="C340" s="26" t="n"/>
      <c r="D340" s="24" t="n"/>
      <c r="E340" s="30" t="n"/>
      <c r="F340" s="31">
        <f>IF(A340="","",A340-MOD(WEEKDAY(A340),7))</f>
        <v/>
      </c>
    </row>
    <row r="341">
      <c r="A341" s="25" t="n"/>
      <c r="B341" s="24" t="n"/>
      <c r="C341" s="26" t="n"/>
      <c r="D341" s="24" t="n"/>
      <c r="E341" s="30" t="n"/>
      <c r="F341" s="31">
        <f>IF(A341="","",A341-MOD(WEEKDAY(A341),7))</f>
        <v/>
      </c>
    </row>
    <row r="342">
      <c r="A342" s="25" t="n"/>
      <c r="B342" s="24" t="n"/>
      <c r="C342" s="26" t="n"/>
      <c r="D342" s="24" t="n"/>
      <c r="E342" s="30" t="n"/>
      <c r="F342" s="31">
        <f>IF(A342="","",A342-MOD(WEEKDAY(A342),7))</f>
        <v/>
      </c>
    </row>
    <row r="343">
      <c r="A343" s="25" t="n"/>
      <c r="B343" s="24" t="n"/>
      <c r="C343" s="26" t="n"/>
      <c r="D343" s="24" t="n"/>
      <c r="E343" s="30" t="n"/>
      <c r="F343" s="31">
        <f>IF(A343="","",A343-MOD(WEEKDAY(A343),7))</f>
        <v/>
      </c>
    </row>
    <row r="344">
      <c r="A344" s="25" t="n"/>
      <c r="B344" s="24" t="n"/>
      <c r="C344" s="26" t="n"/>
      <c r="D344" s="24" t="n"/>
      <c r="E344" s="30" t="n"/>
      <c r="F344" s="31">
        <f>IF(A344="","",A344-MOD(WEEKDAY(A344),7))</f>
        <v/>
      </c>
    </row>
    <row r="345">
      <c r="A345" s="25" t="n"/>
      <c r="B345" s="24" t="n"/>
      <c r="C345" s="26" t="n"/>
      <c r="D345" s="24" t="n"/>
      <c r="E345" s="30" t="n"/>
      <c r="F345" s="31">
        <f>IF(A345="","",A345-MOD(WEEKDAY(A345),7))</f>
        <v/>
      </c>
    </row>
    <row r="346">
      <c r="A346" s="25" t="n"/>
      <c r="B346" s="24" t="n"/>
      <c r="C346" s="26" t="n"/>
      <c r="D346" s="24" t="n"/>
      <c r="E346" s="30" t="n"/>
      <c r="F346" s="31">
        <f>IF(A346="","",A346-MOD(WEEKDAY(A346),7))</f>
        <v/>
      </c>
    </row>
    <row r="347">
      <c r="A347" s="25" t="n"/>
      <c r="B347" s="24" t="n"/>
      <c r="C347" s="26" t="n"/>
      <c r="D347" s="24" t="n"/>
      <c r="E347" s="30" t="n"/>
      <c r="F347" s="31">
        <f>IF(A347="","",A347-MOD(WEEKDAY(A347),7))</f>
        <v/>
      </c>
    </row>
    <row r="348">
      <c r="A348" s="25" t="n"/>
      <c r="B348" s="24" t="n"/>
      <c r="C348" s="26" t="n"/>
      <c r="D348" s="24" t="n"/>
      <c r="E348" s="30" t="n"/>
      <c r="F348" s="31">
        <f>IF(A348="","",A348-MOD(WEEKDAY(A348),7))</f>
        <v/>
      </c>
    </row>
    <row r="349">
      <c r="A349" s="25" t="n"/>
      <c r="B349" s="24" t="n"/>
      <c r="C349" s="26" t="n"/>
      <c r="D349" s="24" t="n"/>
      <c r="E349" s="30" t="n"/>
      <c r="F349" s="31">
        <f>IF(A349="","",A349-MOD(WEEKDAY(A349),7))</f>
        <v/>
      </c>
    </row>
    <row r="350">
      <c r="A350" s="25" t="n"/>
      <c r="B350" s="24" t="n"/>
      <c r="C350" s="26" t="n"/>
      <c r="D350" s="24" t="n"/>
      <c r="E350" s="30" t="n"/>
      <c r="F350" s="31">
        <f>IF(A350="","",A350-MOD(WEEKDAY(A350),7))</f>
        <v/>
      </c>
    </row>
    <row r="351">
      <c r="A351" s="25" t="n"/>
      <c r="B351" s="24" t="n"/>
      <c r="C351" s="26" t="n"/>
      <c r="D351" s="24" t="n"/>
      <c r="E351" s="30" t="n"/>
      <c r="F351" s="31">
        <f>IF(A351="","",A351-MOD(WEEKDAY(A351),7))</f>
        <v/>
      </c>
    </row>
    <row r="352">
      <c r="A352" s="25" t="n"/>
      <c r="B352" s="24" t="n"/>
      <c r="C352" s="26" t="n"/>
      <c r="D352" s="24" t="n"/>
      <c r="E352" s="30" t="n"/>
      <c r="F352" s="31">
        <f>IF(A352="","",A352-MOD(WEEKDAY(A352),7))</f>
        <v/>
      </c>
    </row>
    <row r="353">
      <c r="A353" s="25" t="n"/>
      <c r="B353" s="24" t="n"/>
      <c r="C353" s="26" t="n"/>
      <c r="D353" s="24" t="n"/>
      <c r="E353" s="30" t="n"/>
      <c r="F353" s="31">
        <f>IF(A353="","",A353-MOD(WEEKDAY(A353),7))</f>
        <v/>
      </c>
    </row>
    <row r="354">
      <c r="A354" s="25" t="n"/>
      <c r="B354" s="24" t="n"/>
      <c r="C354" s="26" t="n"/>
      <c r="D354" s="24" t="n"/>
      <c r="E354" s="30" t="n"/>
      <c r="F354" s="31">
        <f>IF(A354="","",A354-MOD(WEEKDAY(A354),7))</f>
        <v/>
      </c>
    </row>
    <row r="355">
      <c r="A355" s="25" t="n"/>
      <c r="B355" s="24" t="n"/>
      <c r="C355" s="26" t="n"/>
      <c r="D355" s="24" t="n"/>
      <c r="E355" s="30" t="n"/>
      <c r="F355" s="31">
        <f>IF(A355="","",A355-MOD(WEEKDAY(A355),7))</f>
        <v/>
      </c>
    </row>
    <row r="356">
      <c r="A356" s="25" t="n"/>
      <c r="B356" s="24" t="n"/>
      <c r="C356" s="26" t="n"/>
      <c r="D356" s="24" t="n"/>
      <c r="E356" s="30" t="n"/>
      <c r="F356" s="31">
        <f>IF(A356="","",A356-MOD(WEEKDAY(A356),7))</f>
        <v/>
      </c>
    </row>
    <row r="357">
      <c r="A357" s="25" t="n"/>
      <c r="B357" s="24" t="n"/>
      <c r="C357" s="26" t="n"/>
      <c r="D357" s="24" t="n"/>
      <c r="E357" s="30" t="n"/>
      <c r="F357" s="31">
        <f>IF(A357="","",A357-MOD(WEEKDAY(A357),7))</f>
        <v/>
      </c>
    </row>
    <row r="358">
      <c r="A358" s="25" t="n"/>
      <c r="B358" s="24" t="n"/>
      <c r="C358" s="26" t="n"/>
      <c r="D358" s="24" t="n"/>
      <c r="E358" s="30" t="n"/>
      <c r="F358" s="31">
        <f>IF(A358="","",A358-MOD(WEEKDAY(A358),7))</f>
        <v/>
      </c>
    </row>
    <row r="359">
      <c r="A359" s="25" t="n"/>
      <c r="B359" s="24" t="n"/>
      <c r="C359" s="26" t="n"/>
      <c r="D359" s="24" t="n"/>
      <c r="E359" s="30" t="n"/>
      <c r="F359" s="31">
        <f>IF(A359="","",A359-MOD(WEEKDAY(A359),7))</f>
        <v/>
      </c>
    </row>
    <row r="360">
      <c r="A360" s="25" t="n"/>
      <c r="B360" s="24" t="n"/>
      <c r="C360" s="26" t="n"/>
      <c r="D360" s="24" t="n"/>
      <c r="E360" s="30" t="n"/>
      <c r="F360" s="31">
        <f>IF(A360="","",A360-MOD(WEEKDAY(A360),7))</f>
        <v/>
      </c>
    </row>
    <row r="361">
      <c r="A361" s="25" t="n"/>
      <c r="B361" s="24" t="n"/>
      <c r="C361" s="26" t="n"/>
      <c r="D361" s="24" t="n"/>
      <c r="E361" s="30" t="n"/>
      <c r="F361" s="31">
        <f>IF(A361="","",A361-MOD(WEEKDAY(A361),7))</f>
        <v/>
      </c>
    </row>
    <row r="362">
      <c r="A362" s="25" t="n"/>
      <c r="B362" s="24" t="n"/>
      <c r="C362" s="26" t="n"/>
      <c r="D362" s="24" t="n"/>
      <c r="E362" s="30" t="n"/>
      <c r="F362" s="31">
        <f>IF(A362="","",A362-MOD(WEEKDAY(A362),7))</f>
        <v/>
      </c>
    </row>
    <row r="363">
      <c r="A363" s="25" t="n"/>
      <c r="B363" s="24" t="n"/>
      <c r="C363" s="26" t="n"/>
      <c r="D363" s="24" t="n"/>
      <c r="E363" s="30" t="n"/>
      <c r="F363" s="31">
        <f>IF(A363="","",A363-MOD(WEEKDAY(A363),7))</f>
        <v/>
      </c>
    </row>
    <row r="364">
      <c r="A364" s="25" t="n"/>
      <c r="B364" s="24" t="n"/>
      <c r="C364" s="26" t="n"/>
      <c r="D364" s="24" t="n"/>
      <c r="E364" s="30" t="n"/>
      <c r="F364" s="31">
        <f>IF(A364="","",A364-MOD(WEEKDAY(A364),7))</f>
        <v/>
      </c>
    </row>
    <row r="365">
      <c r="A365" s="25" t="n"/>
      <c r="B365" s="24" t="n"/>
      <c r="C365" s="26" t="n"/>
      <c r="D365" s="24" t="n"/>
      <c r="E365" s="30" t="n"/>
      <c r="F365" s="31">
        <f>IF(A365="","",A365-MOD(WEEKDAY(A365),7))</f>
        <v/>
      </c>
    </row>
    <row r="366">
      <c r="A366" s="25" t="n"/>
      <c r="B366" s="24" t="n"/>
      <c r="C366" s="26" t="n"/>
      <c r="D366" s="24" t="n"/>
      <c r="E366" s="30" t="n"/>
      <c r="F366" s="31">
        <f>IF(A366="","",A366-MOD(WEEKDAY(A366),7))</f>
        <v/>
      </c>
    </row>
    <row r="367">
      <c r="A367" s="25" t="n"/>
      <c r="B367" s="24" t="n"/>
      <c r="C367" s="26" t="n"/>
      <c r="D367" s="24" t="n"/>
      <c r="E367" s="30" t="n"/>
      <c r="F367" s="31">
        <f>IF(A367="","",A367-MOD(WEEKDAY(A367),7))</f>
        <v/>
      </c>
    </row>
    <row r="368">
      <c r="A368" s="25" t="n"/>
      <c r="B368" s="24" t="n"/>
      <c r="C368" s="26" t="n"/>
      <c r="D368" s="24" t="n"/>
      <c r="E368" s="30" t="n"/>
      <c r="F368" s="31">
        <f>IF(A368="","",A368-MOD(WEEKDAY(A368),7))</f>
        <v/>
      </c>
    </row>
    <row r="369">
      <c r="A369" s="25" t="n"/>
      <c r="B369" s="24" t="n"/>
      <c r="C369" s="26" t="n"/>
      <c r="D369" s="24" t="n"/>
      <c r="E369" s="30" t="n"/>
      <c r="F369" s="31">
        <f>IF(A369="","",A369-MOD(WEEKDAY(A369),7))</f>
        <v/>
      </c>
    </row>
    <row r="370">
      <c r="A370" s="25" t="n"/>
      <c r="B370" s="24" t="n"/>
      <c r="C370" s="26" t="n"/>
      <c r="D370" s="24" t="n"/>
      <c r="E370" s="30" t="n"/>
      <c r="F370" s="31">
        <f>IF(A370="","",A370-MOD(WEEKDAY(A370),7))</f>
        <v/>
      </c>
    </row>
    <row r="371">
      <c r="A371" s="25" t="n"/>
      <c r="B371" s="24" t="n"/>
      <c r="C371" s="26" t="n"/>
      <c r="D371" s="24" t="n"/>
      <c r="E371" s="30" t="n"/>
      <c r="F371" s="31">
        <f>IF(A371="","",A371-MOD(WEEKDAY(A371),7))</f>
        <v/>
      </c>
    </row>
    <row r="372">
      <c r="A372" s="25" t="n"/>
      <c r="B372" s="24" t="n"/>
      <c r="C372" s="26" t="n"/>
      <c r="D372" s="24" t="n"/>
      <c r="E372" s="30" t="n"/>
      <c r="F372" s="31">
        <f>IF(A372="","",A372-MOD(WEEKDAY(A372),7))</f>
        <v/>
      </c>
    </row>
    <row r="373">
      <c r="A373" s="25" t="n"/>
      <c r="B373" s="24" t="n"/>
      <c r="C373" s="26" t="n"/>
      <c r="D373" s="24" t="n"/>
      <c r="E373" s="30" t="n"/>
      <c r="F373" s="31">
        <f>IF(A373="","",A373-MOD(WEEKDAY(A373),7))</f>
        <v/>
      </c>
    </row>
    <row r="374">
      <c r="A374" s="25" t="n"/>
      <c r="B374" s="24" t="n"/>
      <c r="C374" s="26" t="n"/>
      <c r="D374" s="24" t="n"/>
      <c r="E374" s="30" t="n"/>
      <c r="F374" s="31">
        <f>IF(A374="","",A374-MOD(WEEKDAY(A374),7))</f>
        <v/>
      </c>
    </row>
    <row r="375">
      <c r="A375" s="25" t="n"/>
      <c r="B375" s="24" t="n"/>
      <c r="C375" s="26" t="n"/>
      <c r="D375" s="24" t="n"/>
      <c r="E375" s="30" t="n"/>
      <c r="F375" s="31">
        <f>IF(A375="","",A375-MOD(WEEKDAY(A375),7))</f>
        <v/>
      </c>
    </row>
    <row r="376">
      <c r="A376" s="25" t="n"/>
      <c r="B376" s="24" t="n"/>
      <c r="C376" s="26" t="n"/>
      <c r="D376" s="24" t="n"/>
      <c r="E376" s="30" t="n"/>
      <c r="F376" s="31">
        <f>IF(A376="","",A376-MOD(WEEKDAY(A376),7))</f>
        <v/>
      </c>
    </row>
    <row r="377">
      <c r="A377" s="25" t="n"/>
      <c r="B377" s="24" t="n"/>
      <c r="C377" s="26" t="n"/>
      <c r="D377" s="24" t="n"/>
      <c r="E377" s="30" t="n"/>
      <c r="F377" s="31">
        <f>IF(A377="","",A377-MOD(WEEKDAY(A377),7))</f>
        <v/>
      </c>
    </row>
    <row r="378">
      <c r="A378" s="25" t="n"/>
      <c r="B378" s="24" t="n"/>
      <c r="C378" s="26" t="n"/>
      <c r="D378" s="24" t="n"/>
      <c r="E378" s="30" t="n"/>
      <c r="F378" s="31">
        <f>IF(A378="","",A378-MOD(WEEKDAY(A378),7))</f>
        <v/>
      </c>
    </row>
    <row r="379">
      <c r="A379" s="25" t="n"/>
      <c r="B379" s="24" t="n"/>
      <c r="C379" s="26" t="n"/>
      <c r="D379" s="24" t="n"/>
      <c r="E379" s="30" t="n"/>
      <c r="F379" s="31">
        <f>IF(A379="","",A379-MOD(WEEKDAY(A379),7))</f>
        <v/>
      </c>
    </row>
    <row r="380">
      <c r="A380" s="25" t="n"/>
      <c r="B380" s="24" t="n"/>
      <c r="C380" s="26" t="n"/>
      <c r="D380" s="24" t="n"/>
      <c r="E380" s="30" t="n"/>
      <c r="F380" s="31">
        <f>IF(A380="","",A380-MOD(WEEKDAY(A380),7))</f>
        <v/>
      </c>
    </row>
    <row r="381">
      <c r="A381" s="25" t="n"/>
      <c r="B381" s="24" t="n"/>
      <c r="C381" s="26" t="n"/>
      <c r="D381" s="24" t="n"/>
      <c r="E381" s="30" t="n"/>
      <c r="F381" s="31">
        <f>IF(A381="","",A381-MOD(WEEKDAY(A381),7))</f>
        <v/>
      </c>
    </row>
    <row r="382">
      <c r="A382" s="25" t="n"/>
      <c r="B382" s="24" t="n"/>
      <c r="C382" s="26" t="n"/>
      <c r="D382" s="24" t="n"/>
      <c r="E382" s="30" t="n"/>
      <c r="F382" s="31">
        <f>IF(A382="","",A382-MOD(WEEKDAY(A382),7))</f>
        <v/>
      </c>
    </row>
    <row r="383">
      <c r="A383" s="25" t="n"/>
      <c r="B383" s="24" t="n"/>
      <c r="C383" s="26" t="n"/>
      <c r="D383" s="24" t="n"/>
      <c r="E383" s="30" t="n"/>
      <c r="F383" s="31">
        <f>IF(A383="","",A383-MOD(WEEKDAY(A383),7))</f>
        <v/>
      </c>
    </row>
    <row r="384">
      <c r="A384" s="25" t="n"/>
      <c r="B384" s="24" t="n"/>
      <c r="C384" s="26" t="n"/>
      <c r="D384" s="24" t="n"/>
      <c r="E384" s="30" t="n"/>
      <c r="F384" s="31">
        <f>IF(A384="","",A384-MOD(WEEKDAY(A384),7))</f>
        <v/>
      </c>
    </row>
    <row r="385">
      <c r="A385" s="25" t="n"/>
      <c r="B385" s="24" t="n"/>
      <c r="C385" s="26" t="n"/>
      <c r="D385" s="24" t="n"/>
      <c r="E385" s="30" t="n"/>
      <c r="F385" s="31">
        <f>IF(A385="","",A385-MOD(WEEKDAY(A385),7))</f>
        <v/>
      </c>
    </row>
    <row r="386">
      <c r="A386" s="25" t="n"/>
      <c r="B386" s="24" t="n"/>
      <c r="C386" s="26" t="n"/>
      <c r="D386" s="24" t="n"/>
      <c r="E386" s="30" t="n"/>
      <c r="F386" s="31">
        <f>IF(A386="","",A386-MOD(WEEKDAY(A386),7))</f>
        <v/>
      </c>
    </row>
    <row r="387">
      <c r="A387" s="25" t="n"/>
      <c r="B387" s="24" t="n"/>
      <c r="C387" s="26" t="n"/>
      <c r="D387" s="24" t="n"/>
      <c r="E387" s="30" t="n"/>
      <c r="F387" s="31">
        <f>IF(A387="","",A387-MOD(WEEKDAY(A387),7))</f>
        <v/>
      </c>
    </row>
    <row r="388">
      <c r="A388" s="25" t="n"/>
      <c r="B388" s="24" t="n"/>
      <c r="C388" s="26" t="n"/>
      <c r="D388" s="24" t="n"/>
      <c r="E388" s="30" t="n"/>
      <c r="F388" s="31">
        <f>IF(A388="","",A388-MOD(WEEKDAY(A388),7))</f>
        <v/>
      </c>
    </row>
    <row r="389">
      <c r="A389" s="25" t="n"/>
      <c r="B389" s="24" t="n"/>
      <c r="C389" s="26" t="n"/>
      <c r="D389" s="24" t="n"/>
      <c r="E389" s="30" t="n"/>
      <c r="F389" s="31">
        <f>IF(A389="","",A389-MOD(WEEKDAY(A389),7))</f>
        <v/>
      </c>
    </row>
    <row r="390">
      <c r="A390" s="25" t="n"/>
      <c r="B390" s="24" t="n"/>
      <c r="C390" s="26" t="n"/>
      <c r="D390" s="24" t="n"/>
      <c r="E390" s="30" t="n"/>
      <c r="F390" s="31">
        <f>IF(A390="","",A390-MOD(WEEKDAY(A390),7))</f>
        <v/>
      </c>
    </row>
    <row r="391">
      <c r="A391" s="25" t="n"/>
      <c r="B391" s="24" t="n"/>
      <c r="C391" s="26" t="n"/>
      <c r="D391" s="24" t="n"/>
      <c r="E391" s="30" t="n"/>
      <c r="F391" s="31">
        <f>IF(A391="","",A391-MOD(WEEKDAY(A391),7))</f>
        <v/>
      </c>
    </row>
    <row r="392">
      <c r="A392" s="25" t="n"/>
      <c r="B392" s="24" t="n"/>
      <c r="C392" s="26" t="n"/>
      <c r="D392" s="24" t="n"/>
      <c r="E392" s="30" t="n"/>
      <c r="F392" s="31">
        <f>IF(A392="","",A392-MOD(WEEKDAY(A392),7))</f>
        <v/>
      </c>
    </row>
    <row r="393">
      <c r="A393" s="25" t="n"/>
      <c r="B393" s="24" t="n"/>
      <c r="C393" s="26" t="n"/>
      <c r="D393" s="24" t="n"/>
      <c r="E393" s="30" t="n"/>
      <c r="F393" s="31">
        <f>IF(A393="","",A393-MOD(WEEKDAY(A393),7))</f>
        <v/>
      </c>
    </row>
    <row r="394">
      <c r="A394" s="25" t="n"/>
      <c r="B394" s="24" t="n"/>
      <c r="C394" s="26" t="n"/>
      <c r="D394" s="24" t="n"/>
      <c r="E394" s="30" t="n"/>
      <c r="F394" s="31">
        <f>IF(A394="","",A394-MOD(WEEKDAY(A394),7))</f>
        <v/>
      </c>
    </row>
    <row r="395">
      <c r="A395" s="25" t="n"/>
      <c r="B395" s="24" t="n"/>
      <c r="C395" s="26" t="n"/>
      <c r="D395" s="24" t="n"/>
      <c r="E395" s="30" t="n"/>
      <c r="F395" s="31">
        <f>IF(A395="","",A395-MOD(WEEKDAY(A395),7))</f>
        <v/>
      </c>
    </row>
    <row r="396">
      <c r="A396" s="25" t="n"/>
      <c r="B396" s="24" t="n"/>
      <c r="C396" s="26" t="n"/>
      <c r="D396" s="24" t="n"/>
      <c r="E396" s="30" t="n"/>
      <c r="F396" s="31">
        <f>IF(A396="","",A396-MOD(WEEKDAY(A396),7))</f>
        <v/>
      </c>
    </row>
    <row r="397">
      <c r="A397" s="25" t="n"/>
      <c r="B397" s="24" t="n"/>
      <c r="C397" s="26" t="n"/>
      <c r="D397" s="24" t="n"/>
      <c r="E397" s="30" t="n"/>
      <c r="F397" s="31">
        <f>IF(A397="","",A397-MOD(WEEKDAY(A397),7))</f>
        <v/>
      </c>
    </row>
    <row r="398">
      <c r="A398" s="25" t="n"/>
      <c r="B398" s="24" t="n"/>
      <c r="C398" s="26" t="n"/>
      <c r="D398" s="24" t="n"/>
      <c r="E398" s="30" t="n"/>
      <c r="F398" s="31">
        <f>IF(A398="","",A398-MOD(WEEKDAY(A398),7))</f>
        <v/>
      </c>
    </row>
    <row r="399">
      <c r="A399" s="25" t="n"/>
      <c r="B399" s="24" t="n"/>
      <c r="C399" s="26" t="n"/>
      <c r="D399" s="24" t="n"/>
      <c r="E399" s="30" t="n"/>
      <c r="F399" s="31">
        <f>IF(A399="","",A399-MOD(WEEKDAY(A399),7))</f>
        <v/>
      </c>
    </row>
    <row r="400">
      <c r="A400" s="25" t="n"/>
      <c r="B400" s="24" t="n"/>
      <c r="C400" s="26" t="n"/>
      <c r="D400" s="24" t="n"/>
      <c r="E400" s="30" t="n"/>
      <c r="F400" s="31">
        <f>IF(A400="","",A400-MOD(WEEKDAY(A400),7))</f>
        <v/>
      </c>
    </row>
    <row r="401">
      <c r="A401" s="25" t="n"/>
      <c r="B401" s="24" t="n"/>
      <c r="C401" s="26" t="n"/>
      <c r="D401" s="24" t="n"/>
      <c r="E401" s="30" t="n"/>
      <c r="F401" s="31">
        <f>IF(A401="","",A401-MOD(WEEKDAY(A401),7))</f>
        <v/>
      </c>
    </row>
    <row r="402">
      <c r="A402" s="25" t="n"/>
      <c r="B402" s="24" t="n"/>
      <c r="C402" s="26" t="n"/>
      <c r="D402" s="24" t="n"/>
      <c r="E402" s="30" t="n"/>
      <c r="F402" s="31">
        <f>IF(A402="","",A402-MOD(WEEKDAY(A402),7))</f>
        <v/>
      </c>
    </row>
    <row r="403">
      <c r="A403" s="25" t="n"/>
      <c r="B403" s="24" t="n"/>
      <c r="C403" s="26" t="n"/>
      <c r="D403" s="24" t="n"/>
      <c r="E403" s="30" t="n"/>
      <c r="F403" s="31">
        <f>IF(A403="","",A403-MOD(WEEKDAY(A403),7))</f>
        <v/>
      </c>
    </row>
    <row r="404">
      <c r="A404" s="25" t="n"/>
      <c r="B404" s="24" t="n"/>
      <c r="C404" s="26" t="n"/>
      <c r="D404" s="24" t="n"/>
      <c r="E404" s="30" t="n"/>
      <c r="F404" s="31">
        <f>IF(A404="","",A404-MOD(WEEKDAY(A404),7))</f>
        <v/>
      </c>
    </row>
    <row r="405">
      <c r="A405" s="25" t="n"/>
      <c r="B405" s="24" t="n"/>
      <c r="C405" s="26" t="n"/>
      <c r="D405" s="24" t="n"/>
      <c r="E405" s="30" t="n"/>
      <c r="F405" s="31">
        <f>IF(A405="","",A405-MOD(WEEKDAY(A405),7))</f>
        <v/>
      </c>
    </row>
    <row r="406">
      <c r="A406" s="25" t="n"/>
      <c r="B406" s="24" t="n"/>
      <c r="C406" s="26" t="n"/>
      <c r="D406" s="24" t="n"/>
      <c r="E406" s="30" t="n"/>
      <c r="F406" s="31">
        <f>IF(A406="","",A406-MOD(WEEKDAY(A406),7))</f>
        <v/>
      </c>
    </row>
    <row r="407">
      <c r="A407" s="25" t="n"/>
      <c r="B407" s="24" t="n"/>
      <c r="C407" s="26" t="n"/>
      <c r="D407" s="24" t="n"/>
      <c r="E407" s="30" t="n"/>
      <c r="F407" s="31">
        <f>IF(A407="","",A407-MOD(WEEKDAY(A407),7))</f>
        <v/>
      </c>
    </row>
    <row r="408">
      <c r="A408" s="25" t="n"/>
      <c r="B408" s="24" t="n"/>
      <c r="C408" s="26" t="n"/>
      <c r="D408" s="24" t="n"/>
      <c r="E408" s="30" t="n"/>
      <c r="F408" s="31">
        <f>IF(A408="","",A408-MOD(WEEKDAY(A408),7))</f>
        <v/>
      </c>
    </row>
    <row r="409">
      <c r="A409" s="25" t="n"/>
      <c r="B409" s="24" t="n"/>
      <c r="C409" s="26" t="n"/>
      <c r="D409" s="24" t="n"/>
      <c r="E409" s="30" t="n"/>
      <c r="F409" s="31">
        <f>IF(A409="","",A409-MOD(WEEKDAY(A409),7))</f>
        <v/>
      </c>
    </row>
    <row r="410">
      <c r="A410" s="25" t="n"/>
      <c r="B410" s="24" t="n"/>
      <c r="C410" s="26" t="n"/>
      <c r="D410" s="24" t="n"/>
      <c r="E410" s="30" t="n"/>
      <c r="F410" s="31">
        <f>IF(A410="","",A410-MOD(WEEKDAY(A410),7))</f>
        <v/>
      </c>
    </row>
    <row r="411">
      <c r="A411" s="25" t="n"/>
      <c r="B411" s="24" t="n"/>
      <c r="C411" s="26" t="n"/>
      <c r="D411" s="24" t="n"/>
      <c r="E411" s="30" t="n"/>
      <c r="F411" s="31">
        <f>IF(A411="","",A411-MOD(WEEKDAY(A411),7))</f>
        <v/>
      </c>
    </row>
    <row r="412">
      <c r="A412" s="25" t="n"/>
      <c r="B412" s="24" t="n"/>
      <c r="C412" s="26" t="n"/>
      <c r="D412" s="24" t="n"/>
      <c r="E412" s="30" t="n"/>
      <c r="F412" s="31">
        <f>IF(A412="","",A412-MOD(WEEKDAY(A412),7))</f>
        <v/>
      </c>
    </row>
    <row r="413">
      <c r="A413" s="25" t="n"/>
      <c r="B413" s="24" t="n"/>
      <c r="C413" s="26" t="n"/>
      <c r="D413" s="24" t="n"/>
      <c r="E413" s="30" t="n"/>
      <c r="F413" s="31">
        <f>IF(A413="","",A413-MOD(WEEKDAY(A413),7))</f>
        <v/>
      </c>
    </row>
    <row r="414">
      <c r="A414" s="25" t="n"/>
      <c r="B414" s="24" t="n"/>
      <c r="C414" s="26" t="n"/>
      <c r="D414" s="24" t="n"/>
      <c r="E414" s="30" t="n"/>
      <c r="F414" s="31">
        <f>IF(A414="","",A414-MOD(WEEKDAY(A414),7))</f>
        <v/>
      </c>
    </row>
    <row r="415">
      <c r="A415" s="25" t="n"/>
      <c r="B415" s="24" t="n"/>
      <c r="C415" s="26" t="n"/>
      <c r="D415" s="24" t="n"/>
      <c r="E415" s="30" t="n"/>
      <c r="F415" s="31">
        <f>IF(A415="","",A415-MOD(WEEKDAY(A415),7))</f>
        <v/>
      </c>
    </row>
    <row r="416">
      <c r="A416" s="25" t="n"/>
      <c r="B416" s="24" t="n"/>
      <c r="C416" s="26" t="n"/>
      <c r="D416" s="24" t="n"/>
      <c r="E416" s="30" t="n"/>
      <c r="F416" s="31">
        <f>IF(A416="","",A416-MOD(WEEKDAY(A416),7))</f>
        <v/>
      </c>
    </row>
    <row r="417">
      <c r="A417" s="25" t="n"/>
      <c r="B417" s="24" t="n"/>
      <c r="C417" s="26" t="n"/>
      <c r="D417" s="24" t="n"/>
      <c r="E417" s="30" t="n"/>
      <c r="F417" s="31">
        <f>IF(A417="","",A417-MOD(WEEKDAY(A417),7))</f>
        <v/>
      </c>
    </row>
    <row r="418">
      <c r="A418" s="25" t="n"/>
      <c r="B418" s="24" t="n"/>
      <c r="C418" s="26" t="n"/>
      <c r="D418" s="24" t="n"/>
      <c r="E418" s="30" t="n"/>
      <c r="F418" s="31">
        <f>IF(A418="","",A418-MOD(WEEKDAY(A418),7))</f>
        <v/>
      </c>
    </row>
    <row r="419">
      <c r="A419" s="25" t="n"/>
      <c r="B419" s="24" t="n"/>
      <c r="C419" s="26" t="n"/>
      <c r="D419" s="24" t="n"/>
      <c r="E419" s="30" t="n"/>
      <c r="F419" s="31">
        <f>IF(A419="","",A419-MOD(WEEKDAY(A419),7))</f>
        <v/>
      </c>
    </row>
    <row r="420">
      <c r="A420" s="25" t="n"/>
      <c r="B420" s="24" t="n"/>
      <c r="C420" s="26" t="n"/>
      <c r="D420" s="24" t="n"/>
      <c r="E420" s="30" t="n"/>
      <c r="F420" s="31">
        <f>IF(A420="","",A420-MOD(WEEKDAY(A420),7))</f>
        <v/>
      </c>
    </row>
    <row r="421">
      <c r="A421" s="25" t="n"/>
      <c r="B421" s="24" t="n"/>
      <c r="C421" s="26" t="n"/>
      <c r="D421" s="24" t="n"/>
      <c r="E421" s="30" t="n"/>
      <c r="F421" s="31">
        <f>IF(A421="","",A421-MOD(WEEKDAY(A421),7))</f>
        <v/>
      </c>
    </row>
    <row r="422">
      <c r="A422" s="25" t="n"/>
      <c r="B422" s="24" t="n"/>
      <c r="C422" s="26" t="n"/>
      <c r="D422" s="24" t="n"/>
      <c r="E422" s="30" t="n"/>
      <c r="F422" s="31">
        <f>IF(A422="","",A422-MOD(WEEKDAY(A422),7))</f>
        <v/>
      </c>
    </row>
    <row r="423">
      <c r="A423" s="25" t="n"/>
      <c r="B423" s="24" t="n"/>
      <c r="C423" s="26" t="n"/>
      <c r="D423" s="24" t="n"/>
      <c r="E423" s="30" t="n"/>
      <c r="F423" s="31">
        <f>IF(A423="","",A423-MOD(WEEKDAY(A423),7))</f>
        <v/>
      </c>
    </row>
    <row r="424">
      <c r="A424" s="25" t="n"/>
      <c r="B424" s="24" t="n"/>
      <c r="C424" s="26" t="n"/>
      <c r="D424" s="24" t="n"/>
      <c r="E424" s="30" t="n"/>
      <c r="F424" s="31">
        <f>IF(A424="","",A424-MOD(WEEKDAY(A424),7))</f>
        <v/>
      </c>
    </row>
    <row r="425">
      <c r="A425" s="25" t="n"/>
      <c r="B425" s="24" t="n"/>
      <c r="C425" s="26" t="n"/>
      <c r="D425" s="24" t="n"/>
      <c r="E425" s="30" t="n"/>
      <c r="F425" s="31">
        <f>IF(A425="","",A425-MOD(WEEKDAY(A425),7))</f>
        <v/>
      </c>
    </row>
    <row r="426">
      <c r="A426" s="25" t="n"/>
      <c r="B426" s="24" t="n"/>
      <c r="C426" s="26" t="n"/>
      <c r="D426" s="24" t="n"/>
      <c r="E426" s="30" t="n"/>
      <c r="F426" s="31">
        <f>IF(A426="","",A426-MOD(WEEKDAY(A426),7))</f>
        <v/>
      </c>
    </row>
    <row r="427">
      <c r="A427" s="25" t="n"/>
      <c r="B427" s="24" t="n"/>
      <c r="C427" s="26" t="n"/>
      <c r="D427" s="24" t="n"/>
      <c r="E427" s="30" t="n"/>
      <c r="F427" s="31">
        <f>IF(A427="","",A427-MOD(WEEKDAY(A427),7))</f>
        <v/>
      </c>
    </row>
    <row r="428">
      <c r="A428" s="25" t="n"/>
      <c r="B428" s="24" t="n"/>
      <c r="C428" s="26" t="n"/>
      <c r="D428" s="24" t="n"/>
      <c r="E428" s="30" t="n"/>
      <c r="F428" s="31">
        <f>IF(A428="","",A428-MOD(WEEKDAY(A428),7))</f>
        <v/>
      </c>
    </row>
    <row r="429">
      <c r="A429" s="25" t="n"/>
      <c r="B429" s="24" t="n"/>
      <c r="C429" s="26" t="n"/>
      <c r="D429" s="24" t="n"/>
      <c r="E429" s="30" t="n"/>
      <c r="F429" s="31">
        <f>IF(A429="","",A429-MOD(WEEKDAY(A429),7))</f>
        <v/>
      </c>
    </row>
    <row r="430">
      <c r="A430" s="25" t="n"/>
      <c r="B430" s="24" t="n"/>
      <c r="C430" s="26" t="n"/>
      <c r="D430" s="24" t="n"/>
      <c r="E430" s="30" t="n"/>
      <c r="F430" s="31">
        <f>IF(A430="","",A430-MOD(WEEKDAY(A430),7))</f>
        <v/>
      </c>
    </row>
    <row r="431">
      <c r="A431" s="25" t="n"/>
      <c r="B431" s="24" t="n"/>
      <c r="C431" s="26" t="n"/>
      <c r="D431" s="24" t="n"/>
      <c r="E431" s="30" t="n"/>
      <c r="F431" s="31">
        <f>IF(A431="","",A431-MOD(WEEKDAY(A431),7))</f>
        <v/>
      </c>
    </row>
    <row r="432">
      <c r="A432" s="25" t="n"/>
      <c r="B432" s="24" t="n"/>
      <c r="C432" s="26" t="n"/>
      <c r="D432" s="24" t="n"/>
      <c r="E432" s="30" t="n"/>
      <c r="F432" s="31">
        <f>IF(A432="","",A432-MOD(WEEKDAY(A432),7))</f>
        <v/>
      </c>
    </row>
    <row r="433">
      <c r="A433" s="25" t="n"/>
      <c r="B433" s="24" t="n"/>
      <c r="C433" s="26" t="n"/>
      <c r="D433" s="24" t="n"/>
      <c r="E433" s="30" t="n"/>
      <c r="F433" s="31">
        <f>IF(A433="","",A433-MOD(WEEKDAY(A433),7))</f>
        <v/>
      </c>
    </row>
    <row r="434">
      <c r="A434" s="25" t="n"/>
      <c r="B434" s="24" t="n"/>
      <c r="C434" s="26" t="n"/>
      <c r="D434" s="24" t="n"/>
      <c r="E434" s="30" t="n"/>
      <c r="F434" s="31">
        <f>IF(A434="","",A434-MOD(WEEKDAY(A434),7))</f>
        <v/>
      </c>
    </row>
    <row r="435">
      <c r="A435" s="25" t="n"/>
      <c r="B435" s="24" t="n"/>
      <c r="C435" s="26" t="n"/>
      <c r="D435" s="24" t="n"/>
      <c r="E435" s="30" t="n"/>
      <c r="F435" s="31">
        <f>IF(A435="","",A435-MOD(WEEKDAY(A435),7))</f>
        <v/>
      </c>
    </row>
    <row r="436">
      <c r="A436" s="25" t="n"/>
      <c r="B436" s="24" t="n"/>
      <c r="C436" s="26" t="n"/>
      <c r="D436" s="24" t="n"/>
      <c r="E436" s="30" t="n"/>
      <c r="F436" s="31">
        <f>IF(A436="","",A436-MOD(WEEKDAY(A436),7))</f>
        <v/>
      </c>
    </row>
    <row r="437">
      <c r="A437" s="25" t="n"/>
      <c r="B437" s="24" t="n"/>
      <c r="C437" s="26" t="n"/>
      <c r="D437" s="24" t="n"/>
      <c r="E437" s="30" t="n"/>
      <c r="F437" s="31">
        <f>IF(A437="","",A437-MOD(WEEKDAY(A437),7))</f>
        <v/>
      </c>
    </row>
    <row r="438">
      <c r="A438" s="25" t="n"/>
      <c r="B438" s="24" t="n"/>
      <c r="C438" s="26" t="n"/>
      <c r="D438" s="24" t="n"/>
      <c r="E438" s="30" t="n"/>
      <c r="F438" s="31">
        <f>IF(A438="","",A438-MOD(WEEKDAY(A438),7))</f>
        <v/>
      </c>
    </row>
    <row r="439">
      <c r="A439" s="25" t="n"/>
      <c r="B439" s="24" t="n"/>
      <c r="C439" s="26" t="n"/>
      <c r="D439" s="24" t="n"/>
      <c r="E439" s="30" t="n"/>
      <c r="F439" s="31">
        <f>IF(A439="","",A439-MOD(WEEKDAY(A439),7))</f>
        <v/>
      </c>
    </row>
    <row r="440">
      <c r="A440" s="25" t="n"/>
      <c r="B440" s="24" t="n"/>
      <c r="C440" s="26" t="n"/>
      <c r="D440" s="24" t="n"/>
      <c r="E440" s="30" t="n"/>
      <c r="F440" s="31">
        <f>IF(A440="","",A440-MOD(WEEKDAY(A440),7))</f>
        <v/>
      </c>
    </row>
    <row r="441">
      <c r="A441" s="25" t="n"/>
      <c r="B441" s="24" t="n"/>
      <c r="C441" s="26" t="n"/>
      <c r="D441" s="24" t="n"/>
      <c r="E441" s="30" t="n"/>
      <c r="F441" s="31">
        <f>IF(A441="","",A441-MOD(WEEKDAY(A441),7))</f>
        <v/>
      </c>
    </row>
    <row r="442">
      <c r="A442" s="25" t="n"/>
      <c r="B442" s="24" t="n"/>
      <c r="C442" s="26" t="n"/>
      <c r="D442" s="24" t="n"/>
      <c r="E442" s="30" t="n"/>
      <c r="F442" s="31">
        <f>IF(A442="","",A442-MOD(WEEKDAY(A442),7))</f>
        <v/>
      </c>
    </row>
    <row r="443">
      <c r="A443" s="25" t="n"/>
      <c r="B443" s="24" t="n"/>
      <c r="C443" s="26" t="n"/>
      <c r="D443" s="24" t="n"/>
      <c r="E443" s="30" t="n"/>
      <c r="F443" s="31">
        <f>IF(A443="","",A443-MOD(WEEKDAY(A443),7))</f>
        <v/>
      </c>
    </row>
    <row r="444">
      <c r="A444" s="25" t="n"/>
      <c r="B444" s="24" t="n"/>
      <c r="C444" s="26" t="n"/>
      <c r="D444" s="24" t="n"/>
      <c r="E444" s="30" t="n"/>
      <c r="F444" s="31">
        <f>IF(A444="","",A444-MOD(WEEKDAY(A444),7))</f>
        <v/>
      </c>
    </row>
    <row r="445">
      <c r="A445" s="25" t="n"/>
      <c r="B445" s="24" t="n"/>
      <c r="C445" s="26" t="n"/>
      <c r="D445" s="24" t="n"/>
      <c r="E445" s="30" t="n"/>
      <c r="F445" s="31">
        <f>IF(A445="","",A445-MOD(WEEKDAY(A445),7))</f>
        <v/>
      </c>
    </row>
    <row r="446">
      <c r="A446" s="25" t="n"/>
      <c r="B446" s="24" t="n"/>
      <c r="C446" s="26" t="n"/>
      <c r="D446" s="24" t="n"/>
      <c r="E446" s="30" t="n"/>
      <c r="F446" s="31">
        <f>IF(A446="","",A446-MOD(WEEKDAY(A446),7))</f>
        <v/>
      </c>
    </row>
    <row r="447">
      <c r="A447" s="25" t="n"/>
      <c r="B447" s="24" t="n"/>
      <c r="C447" s="26" t="n"/>
      <c r="D447" s="24" t="n"/>
      <c r="E447" s="30" t="n"/>
      <c r="F447" s="31">
        <f>IF(A447="","",A447-MOD(WEEKDAY(A447),7))</f>
        <v/>
      </c>
    </row>
    <row r="448">
      <c r="A448" s="25" t="n"/>
      <c r="B448" s="24" t="n"/>
      <c r="C448" s="26" t="n"/>
      <c r="D448" s="24" t="n"/>
      <c r="E448" s="30" t="n"/>
      <c r="F448" s="31">
        <f>IF(A448="","",A448-MOD(WEEKDAY(A448),7))</f>
        <v/>
      </c>
    </row>
    <row r="449">
      <c r="A449" s="25" t="n"/>
      <c r="B449" s="24" t="n"/>
      <c r="C449" s="26" t="n"/>
      <c r="D449" s="24" t="n"/>
      <c r="E449" s="30" t="n"/>
      <c r="F449" s="31">
        <f>IF(A449="","",A449-MOD(WEEKDAY(A449),7))</f>
        <v/>
      </c>
    </row>
    <row r="450">
      <c r="A450" s="25" t="n"/>
      <c r="B450" s="24" t="n"/>
      <c r="C450" s="26" t="n"/>
      <c r="D450" s="24" t="n"/>
      <c r="E450" s="30" t="n"/>
      <c r="F450" s="31">
        <f>IF(A450="","",A450-MOD(WEEKDAY(A450),7))</f>
        <v/>
      </c>
    </row>
    <row r="451">
      <c r="A451" s="25" t="n"/>
      <c r="B451" s="24" t="n"/>
      <c r="C451" s="26" t="n"/>
      <c r="D451" s="24" t="n"/>
      <c r="E451" s="30" t="n"/>
      <c r="F451" s="31">
        <f>IF(A451="","",A451-MOD(WEEKDAY(A451),7))</f>
        <v/>
      </c>
    </row>
    <row r="452">
      <c r="A452" s="25" t="n"/>
      <c r="B452" s="24" t="n"/>
      <c r="C452" s="26" t="n"/>
      <c r="D452" s="24" t="n"/>
      <c r="E452" s="30" t="n"/>
      <c r="F452" s="31">
        <f>IF(A452="","",A452-MOD(WEEKDAY(A452),7))</f>
        <v/>
      </c>
    </row>
    <row r="453">
      <c r="A453" s="25" t="n"/>
      <c r="B453" s="24" t="n"/>
      <c r="C453" s="26" t="n"/>
      <c r="D453" s="24" t="n"/>
      <c r="E453" s="30" t="n"/>
      <c r="F453" s="31">
        <f>IF(A453="","",A453-MOD(WEEKDAY(A453),7))</f>
        <v/>
      </c>
    </row>
    <row r="454">
      <c r="A454" s="25" t="n"/>
      <c r="B454" s="24" t="n"/>
      <c r="C454" s="26" t="n"/>
      <c r="D454" s="24" t="n"/>
      <c r="E454" s="30" t="n"/>
      <c r="F454" s="31">
        <f>IF(A454="","",A454-MOD(WEEKDAY(A454),7))</f>
        <v/>
      </c>
    </row>
    <row r="455">
      <c r="A455" s="25" t="n"/>
      <c r="B455" s="24" t="n"/>
      <c r="C455" s="26" t="n"/>
      <c r="D455" s="24" t="n"/>
      <c r="E455" s="30" t="n"/>
      <c r="F455" s="31">
        <f>IF(A455="","",A455-MOD(WEEKDAY(A455),7))</f>
        <v/>
      </c>
    </row>
    <row r="456">
      <c r="A456" s="25" t="n"/>
      <c r="B456" s="24" t="n"/>
      <c r="C456" s="26" t="n"/>
      <c r="D456" s="24" t="n"/>
      <c r="E456" s="30" t="n"/>
      <c r="F456" s="31">
        <f>IF(A456="","",A456-MOD(WEEKDAY(A456),7))</f>
        <v/>
      </c>
    </row>
    <row r="457">
      <c r="A457" s="25" t="n"/>
      <c r="B457" s="24" t="n"/>
      <c r="C457" s="26" t="n"/>
      <c r="D457" s="24" t="n"/>
      <c r="E457" s="30" t="n"/>
      <c r="F457" s="31">
        <f>IF(A457="","",A457-MOD(WEEKDAY(A457),7))</f>
        <v/>
      </c>
    </row>
    <row r="458">
      <c r="A458" s="25" t="n"/>
      <c r="B458" s="24" t="n"/>
      <c r="C458" s="26" t="n"/>
      <c r="D458" s="24" t="n"/>
      <c r="E458" s="30" t="n"/>
      <c r="F458" s="31">
        <f>IF(A458="","",A458-MOD(WEEKDAY(A458),7))</f>
        <v/>
      </c>
    </row>
    <row r="459">
      <c r="A459" s="25" t="n"/>
      <c r="B459" s="24" t="n"/>
      <c r="C459" s="26" t="n"/>
      <c r="D459" s="24" t="n"/>
      <c r="E459" s="30" t="n"/>
      <c r="F459" s="31">
        <f>IF(A459="","",A459-MOD(WEEKDAY(A459),7))</f>
        <v/>
      </c>
    </row>
    <row r="460">
      <c r="A460" s="25" t="n"/>
      <c r="B460" s="24" t="n"/>
      <c r="C460" s="26" t="n"/>
      <c r="D460" s="24" t="n"/>
      <c r="E460" s="30" t="n"/>
      <c r="F460" s="31">
        <f>IF(A460="","",A460-MOD(WEEKDAY(A460),7))</f>
        <v/>
      </c>
    </row>
    <row r="461">
      <c r="A461" s="25" t="n"/>
      <c r="B461" s="24" t="n"/>
      <c r="C461" s="26" t="n"/>
      <c r="D461" s="24" t="n"/>
      <c r="E461" s="30" t="n"/>
      <c r="F461" s="31">
        <f>IF(A461="","",A461-MOD(WEEKDAY(A461),7))</f>
        <v/>
      </c>
    </row>
    <row r="462">
      <c r="A462" s="25" t="n"/>
      <c r="B462" s="24" t="n"/>
      <c r="C462" s="26" t="n"/>
      <c r="D462" s="24" t="n"/>
      <c r="E462" s="30" t="n"/>
      <c r="F462" s="31">
        <f>IF(A462="","",A462-MOD(WEEKDAY(A462),7))</f>
        <v/>
      </c>
    </row>
    <row r="463">
      <c r="A463" s="25" t="n"/>
      <c r="B463" s="24" t="n"/>
      <c r="C463" s="26" t="n"/>
      <c r="D463" s="24" t="n"/>
      <c r="E463" s="30" t="n"/>
      <c r="F463" s="31">
        <f>IF(A463="","",A463-MOD(WEEKDAY(A463),7))</f>
        <v/>
      </c>
    </row>
    <row r="464">
      <c r="A464" s="25" t="n"/>
      <c r="B464" s="24" t="n"/>
      <c r="C464" s="26" t="n"/>
      <c r="D464" s="24" t="n"/>
      <c r="E464" s="30" t="n"/>
      <c r="F464" s="31">
        <f>IF(A464="","",A464-MOD(WEEKDAY(A464),7))</f>
        <v/>
      </c>
    </row>
    <row r="465">
      <c r="A465" s="25" t="n"/>
      <c r="B465" s="24" t="n"/>
      <c r="C465" s="26" t="n"/>
      <c r="D465" s="24" t="n"/>
      <c r="E465" s="30" t="n"/>
      <c r="F465" s="31">
        <f>IF(A465="","",A465-MOD(WEEKDAY(A465),7))</f>
        <v/>
      </c>
    </row>
    <row r="466">
      <c r="A466" s="25" t="n"/>
      <c r="B466" s="24" t="n"/>
      <c r="C466" s="26" t="n"/>
      <c r="D466" s="24" t="n"/>
      <c r="E466" s="30" t="n"/>
      <c r="F466" s="31">
        <f>IF(A466="","",A466-MOD(WEEKDAY(A466),7))</f>
        <v/>
      </c>
    </row>
    <row r="467">
      <c r="A467" s="25" t="n"/>
      <c r="B467" s="24" t="n"/>
      <c r="C467" s="26" t="n"/>
      <c r="D467" s="24" t="n"/>
      <c r="E467" s="30" t="n"/>
      <c r="F467" s="31">
        <f>IF(A467="","",A467-MOD(WEEKDAY(A467),7))</f>
        <v/>
      </c>
    </row>
    <row r="468">
      <c r="A468" s="25" t="n"/>
      <c r="B468" s="24" t="n"/>
      <c r="C468" s="26" t="n"/>
      <c r="D468" s="24" t="n"/>
      <c r="E468" s="30" t="n"/>
      <c r="F468" s="31">
        <f>IF(A468="","",A468-MOD(WEEKDAY(A468),7))</f>
        <v/>
      </c>
    </row>
    <row r="469">
      <c r="A469" s="25" t="n"/>
      <c r="B469" s="24" t="n"/>
      <c r="C469" s="26" t="n"/>
      <c r="D469" s="24" t="n"/>
      <c r="E469" s="30" t="n"/>
      <c r="F469" s="31">
        <f>IF(A469="","",A469-MOD(WEEKDAY(A469),7))</f>
        <v/>
      </c>
    </row>
    <row r="470">
      <c r="A470" s="25" t="n"/>
      <c r="B470" s="24" t="n"/>
      <c r="C470" s="26" t="n"/>
      <c r="D470" s="24" t="n"/>
      <c r="E470" s="30" t="n"/>
      <c r="F470" s="31">
        <f>IF(A470="","",A470-MOD(WEEKDAY(A470),7))</f>
        <v/>
      </c>
    </row>
    <row r="471">
      <c r="A471" s="25" t="n"/>
      <c r="B471" s="24" t="n"/>
      <c r="C471" s="26" t="n"/>
      <c r="D471" s="24" t="n"/>
      <c r="E471" s="30" t="n"/>
      <c r="F471" s="31">
        <f>IF(A471="","",A471-MOD(WEEKDAY(A471),7))</f>
        <v/>
      </c>
    </row>
    <row r="472">
      <c r="A472" s="25" t="n"/>
      <c r="B472" s="24" t="n"/>
      <c r="C472" s="26" t="n"/>
      <c r="D472" s="24" t="n"/>
      <c r="E472" s="30" t="n"/>
      <c r="F472" s="31">
        <f>IF(A472="","",A472-MOD(WEEKDAY(A472),7))</f>
        <v/>
      </c>
    </row>
    <row r="473">
      <c r="A473" s="25" t="n"/>
      <c r="B473" s="24" t="n"/>
      <c r="C473" s="26" t="n"/>
      <c r="D473" s="24" t="n"/>
      <c r="E473" s="30" t="n"/>
      <c r="F473" s="31">
        <f>IF(A473="","",A473-MOD(WEEKDAY(A473),7))</f>
        <v/>
      </c>
    </row>
    <row r="474">
      <c r="A474" s="25" t="n"/>
      <c r="B474" s="24" t="n"/>
      <c r="C474" s="26" t="n"/>
      <c r="D474" s="24" t="n"/>
      <c r="E474" s="30" t="n"/>
      <c r="F474" s="31">
        <f>IF(A474="","",A474-MOD(WEEKDAY(A474),7))</f>
        <v/>
      </c>
    </row>
    <row r="475">
      <c r="A475" s="25" t="n"/>
      <c r="B475" s="24" t="n"/>
      <c r="C475" s="26" t="n"/>
      <c r="D475" s="24" t="n"/>
      <c r="E475" s="30" t="n"/>
      <c r="F475" s="31">
        <f>IF(A475="","",A475-MOD(WEEKDAY(A475),7))</f>
        <v/>
      </c>
    </row>
    <row r="476">
      <c r="A476" s="25" t="n"/>
      <c r="B476" s="24" t="n"/>
      <c r="C476" s="26" t="n"/>
      <c r="D476" s="24" t="n"/>
      <c r="E476" s="30" t="n"/>
      <c r="F476" s="31">
        <f>IF(A476="","",A476-MOD(WEEKDAY(A476),7))</f>
        <v/>
      </c>
    </row>
    <row r="477">
      <c r="A477" s="25" t="n"/>
      <c r="B477" s="24" t="n"/>
      <c r="C477" s="26" t="n"/>
      <c r="D477" s="24" t="n"/>
      <c r="E477" s="30" t="n"/>
      <c r="F477" s="31">
        <f>IF(A477="","",A477-MOD(WEEKDAY(A477),7))</f>
        <v/>
      </c>
    </row>
    <row r="478">
      <c r="A478" s="25" t="n"/>
      <c r="B478" s="24" t="n"/>
      <c r="C478" s="26" t="n"/>
      <c r="D478" s="24" t="n"/>
      <c r="E478" s="30" t="n"/>
      <c r="F478" s="31">
        <f>IF(A478="","",A478-MOD(WEEKDAY(A478),7))</f>
        <v/>
      </c>
    </row>
    <row r="479">
      <c r="A479" s="25" t="n"/>
      <c r="B479" s="24" t="n"/>
      <c r="C479" s="26" t="n"/>
      <c r="D479" s="24" t="n"/>
      <c r="E479" s="30" t="n"/>
      <c r="F479" s="31">
        <f>IF(A479="","",A479-MOD(WEEKDAY(A479),7))</f>
        <v/>
      </c>
    </row>
    <row r="480">
      <c r="A480" s="25" t="n"/>
      <c r="B480" s="24" t="n"/>
      <c r="C480" s="26" t="n"/>
      <c r="D480" s="24" t="n"/>
      <c r="E480" s="30" t="n"/>
      <c r="F480" s="31">
        <f>IF(A480="","",A480-MOD(WEEKDAY(A480),7))</f>
        <v/>
      </c>
    </row>
    <row r="481">
      <c r="A481" s="25" t="n"/>
      <c r="B481" s="24" t="n"/>
      <c r="C481" s="26" t="n"/>
      <c r="D481" s="24" t="n"/>
      <c r="E481" s="30" t="n"/>
      <c r="F481" s="31">
        <f>IF(A481="","",A481-MOD(WEEKDAY(A481),7))</f>
        <v/>
      </c>
    </row>
    <row r="482">
      <c r="A482" s="25" t="n"/>
      <c r="B482" s="24" t="n"/>
      <c r="C482" s="26" t="n"/>
      <c r="D482" s="24" t="n"/>
      <c r="E482" s="30" t="n"/>
      <c r="F482" s="31">
        <f>IF(A482="","",A482-MOD(WEEKDAY(A482),7))</f>
        <v/>
      </c>
    </row>
    <row r="483">
      <c r="A483" s="25" t="n"/>
      <c r="B483" s="24" t="n"/>
      <c r="C483" s="26" t="n"/>
      <c r="D483" s="24" t="n"/>
      <c r="E483" s="30" t="n"/>
      <c r="F483" s="31">
        <f>IF(A483="","",A483-MOD(WEEKDAY(A483),7))</f>
        <v/>
      </c>
    </row>
    <row r="484">
      <c r="A484" s="25" t="n"/>
      <c r="B484" s="24" t="n"/>
      <c r="C484" s="26" t="n"/>
      <c r="D484" s="24" t="n"/>
      <c r="E484" s="30" t="n"/>
      <c r="F484" s="31">
        <f>IF(A484="","",A484-MOD(WEEKDAY(A484),7))</f>
        <v/>
      </c>
    </row>
    <row r="485">
      <c r="A485" s="25" t="n"/>
      <c r="B485" s="24" t="n"/>
      <c r="C485" s="26" t="n"/>
      <c r="D485" s="24" t="n"/>
      <c r="E485" s="30" t="n"/>
      <c r="F485" s="31">
        <f>IF(A485="","",A485-MOD(WEEKDAY(A485),7))</f>
        <v/>
      </c>
    </row>
    <row r="486">
      <c r="A486" s="25" t="n"/>
      <c r="B486" s="24" t="n"/>
      <c r="C486" s="26" t="n"/>
      <c r="D486" s="24" t="n"/>
      <c r="E486" s="30" t="n"/>
      <c r="F486" s="31">
        <f>IF(A486="","",A486-MOD(WEEKDAY(A486),7))</f>
        <v/>
      </c>
    </row>
    <row r="487">
      <c r="A487" s="25" t="n"/>
      <c r="B487" s="24" t="n"/>
      <c r="C487" s="26" t="n"/>
      <c r="D487" s="24" t="n"/>
      <c r="E487" s="30" t="n"/>
      <c r="F487" s="31">
        <f>IF(A487="","",A487-MOD(WEEKDAY(A487),7))</f>
        <v/>
      </c>
    </row>
    <row r="488">
      <c r="A488" s="25" t="n"/>
      <c r="B488" s="24" t="n"/>
      <c r="C488" s="26" t="n"/>
      <c r="D488" s="24" t="n"/>
      <c r="E488" s="30" t="n"/>
      <c r="F488" s="31">
        <f>IF(A488="","",A488-MOD(WEEKDAY(A488),7))</f>
        <v/>
      </c>
    </row>
    <row r="489">
      <c r="A489" s="25" t="n"/>
      <c r="B489" s="24" t="n"/>
      <c r="C489" s="26" t="n"/>
      <c r="D489" s="24" t="n"/>
      <c r="E489" s="30" t="n"/>
      <c r="F489" s="31">
        <f>IF(A489="","",A489-MOD(WEEKDAY(A489),7))</f>
        <v/>
      </c>
    </row>
    <row r="490">
      <c r="A490" s="25" t="n"/>
      <c r="B490" s="24" t="n"/>
      <c r="C490" s="26" t="n"/>
      <c r="D490" s="24" t="n"/>
      <c r="E490" s="30" t="n"/>
      <c r="F490" s="31">
        <f>IF(A490="","",A490-MOD(WEEKDAY(A490),7))</f>
        <v/>
      </c>
    </row>
    <row r="491">
      <c r="A491" s="25" t="n"/>
      <c r="B491" s="24" t="n"/>
      <c r="C491" s="26" t="n"/>
      <c r="D491" s="24" t="n"/>
      <c r="E491" s="30" t="n"/>
      <c r="F491" s="31">
        <f>IF(A491="","",A491-MOD(WEEKDAY(A491),7))</f>
        <v/>
      </c>
    </row>
    <row r="492">
      <c r="A492" s="25" t="n"/>
      <c r="B492" s="24" t="n"/>
      <c r="C492" s="26" t="n"/>
      <c r="D492" s="24" t="n"/>
      <c r="E492" s="30" t="n"/>
      <c r="F492" s="31">
        <f>IF(A492="","",A492-MOD(WEEKDAY(A492),7))</f>
        <v/>
      </c>
    </row>
    <row r="493">
      <c r="A493" s="25" t="n"/>
      <c r="B493" s="24" t="n"/>
      <c r="C493" s="26" t="n"/>
      <c r="D493" s="24" t="n"/>
      <c r="E493" s="30" t="n"/>
      <c r="F493" s="31">
        <f>IF(A493="","",A493-MOD(WEEKDAY(A493),7))</f>
        <v/>
      </c>
    </row>
    <row r="494">
      <c r="A494" s="25" t="n"/>
      <c r="B494" s="24" t="n"/>
      <c r="C494" s="26" t="n"/>
      <c r="D494" s="24" t="n"/>
      <c r="E494" s="30" t="n"/>
      <c r="F494" s="31">
        <f>IF(A494="","",A494-MOD(WEEKDAY(A494),7))</f>
        <v/>
      </c>
    </row>
    <row r="495">
      <c r="A495" s="25" t="n"/>
      <c r="B495" s="24" t="n"/>
      <c r="C495" s="26" t="n"/>
      <c r="D495" s="24" t="n"/>
      <c r="E495" s="30" t="n"/>
      <c r="F495" s="31">
        <f>IF(A495="","",A495-MOD(WEEKDAY(A495),7))</f>
        <v/>
      </c>
    </row>
    <row r="496">
      <c r="A496" s="25" t="n"/>
      <c r="B496" s="24" t="n"/>
      <c r="C496" s="26" t="n"/>
      <c r="D496" s="24" t="n"/>
      <c r="E496" s="30" t="n"/>
      <c r="F496" s="31">
        <f>IF(A496="","",A496-MOD(WEEKDAY(A496),7))</f>
        <v/>
      </c>
    </row>
    <row r="497">
      <c r="A497" s="25" t="n"/>
      <c r="B497" s="24" t="n"/>
      <c r="C497" s="26" t="n"/>
      <c r="D497" s="24" t="n"/>
      <c r="E497" s="30" t="n"/>
      <c r="F497" s="31">
        <f>IF(A497="","",A497-MOD(WEEKDAY(A497),7))</f>
        <v/>
      </c>
    </row>
    <row r="498">
      <c r="A498" s="25" t="n"/>
      <c r="B498" s="24" t="n"/>
      <c r="C498" s="26" t="n"/>
      <c r="D498" s="24" t="n"/>
      <c r="E498" s="30" t="n"/>
      <c r="F498" s="31">
        <f>IF(A498="","",A498-MOD(WEEKDAY(A498),7))</f>
        <v/>
      </c>
    </row>
    <row r="499">
      <c r="A499" s="25" t="n"/>
      <c r="B499" s="24" t="n"/>
      <c r="C499" s="26" t="n"/>
      <c r="D499" s="24" t="n"/>
      <c r="E499" s="30" t="n"/>
      <c r="F499" s="31">
        <f>IF(A499="","",A499-MOD(WEEKDAY(A499),7))</f>
        <v/>
      </c>
    </row>
    <row r="500">
      <c r="A500" s="25" t="n"/>
      <c r="B500" s="24" t="n"/>
      <c r="C500" s="26" t="n"/>
      <c r="D500" s="24" t="n"/>
      <c r="E500" s="30" t="n"/>
      <c r="F500" s="31">
        <f>IF(A500="","",A500-MOD(WEEKDAY(A500),7))</f>
        <v/>
      </c>
    </row>
    <row r="501">
      <c r="A501" s="25" t="n"/>
      <c r="B501" s="24" t="n"/>
      <c r="C501" s="26" t="n"/>
      <c r="D501" s="24" t="n"/>
      <c r="E501" s="30" t="n"/>
      <c r="F501" s="31">
        <f>IF(A501="","",A501-MOD(WEEKDAY(A501),7))</f>
        <v/>
      </c>
    </row>
    <row r="502">
      <c r="A502" s="25" t="n"/>
      <c r="B502" s="24" t="n"/>
      <c r="C502" s="26" t="n"/>
      <c r="D502" s="24" t="n"/>
      <c r="E502" s="30" t="n"/>
      <c r="F502" s="31">
        <f>IF(A502="","",A502-MOD(WEEKDAY(A502),7))</f>
        <v/>
      </c>
    </row>
    <row r="503">
      <c r="A503" s="25" t="n"/>
      <c r="B503" s="24" t="n"/>
      <c r="C503" s="26" t="n"/>
      <c r="D503" s="24" t="n"/>
      <c r="E503" s="30" t="n"/>
      <c r="F503" s="31">
        <f>IF(A503="","",A503-MOD(WEEKDAY(A503),7))</f>
        <v/>
      </c>
    </row>
    <row r="504">
      <c r="A504" s="25" t="n"/>
      <c r="B504" s="24" t="n"/>
      <c r="C504" s="26" t="n"/>
      <c r="D504" s="24" t="n"/>
      <c r="E504" s="30" t="n"/>
      <c r="F504" s="31">
        <f>IF(A504="","",A504-MOD(WEEKDAY(A504),7))</f>
        <v/>
      </c>
    </row>
    <row r="505">
      <c r="A505" s="25" t="n"/>
      <c r="B505" s="24" t="n"/>
      <c r="C505" s="26" t="n"/>
      <c r="D505" s="24" t="n"/>
      <c r="E505" s="30" t="n"/>
      <c r="F505" s="31">
        <f>IF(A505="","",A505-MOD(WEEKDAY(A505),7))</f>
        <v/>
      </c>
    </row>
    <row r="506">
      <c r="A506" s="25" t="n"/>
      <c r="B506" s="24" t="n"/>
      <c r="C506" s="26" t="n"/>
      <c r="D506" s="24" t="n"/>
      <c r="E506" s="30" t="n"/>
      <c r="F506" s="31">
        <f>IF(A506="","",A506-MOD(WEEKDAY(A506),7))</f>
        <v/>
      </c>
    </row>
    <row r="507">
      <c r="A507" s="25" t="n"/>
      <c r="B507" s="24" t="n"/>
      <c r="C507" s="26" t="n"/>
      <c r="D507" s="24" t="n"/>
      <c r="E507" s="30" t="n"/>
      <c r="F507" s="31">
        <f>IF(A507="","",A507-MOD(WEEKDAY(A507),7))</f>
        <v/>
      </c>
    </row>
    <row r="508">
      <c r="A508" s="25" t="n"/>
      <c r="B508" s="24" t="n"/>
      <c r="C508" s="26" t="n"/>
      <c r="D508" s="24" t="n"/>
      <c r="E508" s="30" t="n"/>
      <c r="F508" s="31">
        <f>IF(A508="","",A508-MOD(WEEKDAY(A508),7))</f>
        <v/>
      </c>
    </row>
    <row r="509">
      <c r="A509" s="25" t="n"/>
      <c r="B509" s="24" t="n"/>
      <c r="C509" s="26" t="n"/>
      <c r="D509" s="24" t="n"/>
      <c r="E509" s="30" t="n"/>
      <c r="F509" s="31">
        <f>IF(A509="","",A509-MOD(WEEKDAY(A509),7))</f>
        <v/>
      </c>
    </row>
    <row r="510">
      <c r="A510" s="25" t="n"/>
      <c r="B510" s="24" t="n"/>
      <c r="C510" s="26" t="n"/>
      <c r="D510" s="24" t="n"/>
      <c r="E510" s="30" t="n"/>
      <c r="F510" s="31">
        <f>IF(A510="","",A510-MOD(WEEKDAY(A510),7))</f>
        <v/>
      </c>
    </row>
    <row r="511">
      <c r="A511" s="25" t="n"/>
      <c r="B511" s="24" t="n"/>
      <c r="C511" s="26" t="n"/>
      <c r="D511" s="24" t="n"/>
      <c r="E511" s="30" t="n"/>
      <c r="F511" s="31">
        <f>IF(A511="","",A511-MOD(WEEKDAY(A511),7))</f>
        <v/>
      </c>
    </row>
    <row r="512">
      <c r="A512" s="25" t="n"/>
      <c r="B512" s="24" t="n"/>
      <c r="C512" s="26" t="n"/>
      <c r="D512" s="24" t="n"/>
      <c r="E512" s="30" t="n"/>
      <c r="F512" s="31">
        <f>IF(A512="","",A512-MOD(WEEKDAY(A512),7))</f>
        <v/>
      </c>
    </row>
    <row r="513">
      <c r="A513" s="25" t="n"/>
      <c r="B513" s="24" t="n"/>
      <c r="C513" s="26" t="n"/>
      <c r="D513" s="24" t="n"/>
      <c r="E513" s="30" t="n"/>
      <c r="F513" s="31">
        <f>IF(A513="","",A513-MOD(WEEKDAY(A513),7))</f>
        <v/>
      </c>
    </row>
    <row r="514">
      <c r="A514" s="25" t="n"/>
      <c r="B514" s="24" t="n"/>
      <c r="C514" s="26" t="n"/>
      <c r="D514" s="24" t="n"/>
      <c r="E514" s="30" t="n"/>
      <c r="F514" s="31">
        <f>IF(A514="","",A514-MOD(WEEKDAY(A514),7))</f>
        <v/>
      </c>
    </row>
    <row r="515">
      <c r="A515" s="25" t="n"/>
      <c r="B515" s="24" t="n"/>
      <c r="C515" s="26" t="n"/>
      <c r="D515" s="24" t="n"/>
      <c r="E515" s="30" t="n"/>
      <c r="F515" s="31">
        <f>IF(A515="","",A515-MOD(WEEKDAY(A515),7))</f>
        <v/>
      </c>
    </row>
    <row r="516">
      <c r="A516" s="25" t="n"/>
      <c r="B516" s="24" t="n"/>
      <c r="C516" s="26" t="n"/>
      <c r="D516" s="24" t="n"/>
      <c r="E516" s="30" t="n"/>
      <c r="F516" s="31">
        <f>IF(A516="","",A516-MOD(WEEKDAY(A516),7))</f>
        <v/>
      </c>
    </row>
    <row r="517">
      <c r="A517" s="25" t="n"/>
      <c r="B517" s="24" t="n"/>
      <c r="C517" s="26" t="n"/>
      <c r="D517" s="24" t="n"/>
      <c r="E517" s="30" t="n"/>
      <c r="F517" s="31">
        <f>IF(A517="","",A517-MOD(WEEKDAY(A517),7))</f>
        <v/>
      </c>
    </row>
    <row r="518">
      <c r="A518" s="25" t="n"/>
      <c r="B518" s="24" t="n"/>
      <c r="C518" s="26" t="n"/>
      <c r="D518" s="24" t="n"/>
      <c r="E518" s="30" t="n"/>
      <c r="F518" s="31">
        <f>IF(A518="","",A518-MOD(WEEKDAY(A518),7))</f>
        <v/>
      </c>
    </row>
    <row r="519">
      <c r="A519" s="25" t="n"/>
      <c r="B519" s="24" t="n"/>
      <c r="C519" s="26" t="n"/>
      <c r="D519" s="24" t="n"/>
      <c r="E519" s="30" t="n"/>
      <c r="F519" s="31">
        <f>IF(A519="","",A519-MOD(WEEKDAY(A519),7))</f>
        <v/>
      </c>
    </row>
    <row r="520">
      <c r="A520" s="25" t="n"/>
      <c r="B520" s="24" t="n"/>
      <c r="C520" s="26" t="n"/>
      <c r="D520" s="24" t="n"/>
      <c r="E520" s="30" t="n"/>
      <c r="F520" s="31">
        <f>IF(A520="","",A520-MOD(WEEKDAY(A520),7))</f>
        <v/>
      </c>
    </row>
    <row r="521">
      <c r="A521" s="25" t="n"/>
      <c r="B521" s="24" t="n"/>
      <c r="C521" s="26" t="n"/>
      <c r="D521" s="24" t="n"/>
      <c r="E521" s="30" t="n"/>
      <c r="F521" s="31">
        <f>IF(A521="","",A521-MOD(WEEKDAY(A521),7))</f>
        <v/>
      </c>
    </row>
    <row r="522">
      <c r="A522" s="25" t="n"/>
      <c r="B522" s="24" t="n"/>
      <c r="C522" s="26" t="n"/>
      <c r="D522" s="24" t="n"/>
      <c r="E522" s="30" t="n"/>
      <c r="F522" s="31">
        <f>IF(A522="","",A522-MOD(WEEKDAY(A522),7))</f>
        <v/>
      </c>
    </row>
    <row r="523">
      <c r="A523" s="25" t="n"/>
      <c r="B523" s="24" t="n"/>
      <c r="C523" s="26" t="n"/>
      <c r="D523" s="24" t="n"/>
      <c r="E523" s="30" t="n"/>
      <c r="F523" s="31">
        <f>IF(A523="","",A523-MOD(WEEKDAY(A523),7))</f>
        <v/>
      </c>
    </row>
    <row r="524">
      <c r="A524" s="25" t="n"/>
      <c r="B524" s="24" t="n"/>
      <c r="C524" s="26" t="n"/>
      <c r="D524" s="24" t="n"/>
      <c r="E524" s="30" t="n"/>
      <c r="F524" s="31">
        <f>IF(A524="","",A524-MOD(WEEKDAY(A524),7))</f>
        <v/>
      </c>
    </row>
    <row r="525">
      <c r="A525" s="25" t="n"/>
      <c r="B525" s="24" t="n"/>
      <c r="C525" s="26" t="n"/>
      <c r="D525" s="24" t="n"/>
      <c r="E525" s="30" t="n"/>
      <c r="F525" s="31">
        <f>IF(A525="","",A525-MOD(WEEKDAY(A525),7))</f>
        <v/>
      </c>
    </row>
    <row r="526">
      <c r="A526" s="25" t="n"/>
      <c r="B526" s="24" t="n"/>
      <c r="C526" s="26" t="n"/>
      <c r="D526" s="24" t="n"/>
      <c r="E526" s="30" t="n"/>
      <c r="F526" s="31">
        <f>IF(A526="","",A526-MOD(WEEKDAY(A526),7))</f>
        <v/>
      </c>
    </row>
    <row r="527">
      <c r="A527" s="25" t="n"/>
      <c r="B527" s="24" t="n"/>
      <c r="C527" s="26" t="n"/>
      <c r="D527" s="24" t="n"/>
      <c r="E527" s="30" t="n"/>
      <c r="F527" s="31">
        <f>IF(A527="","",A527-MOD(WEEKDAY(A527),7))</f>
        <v/>
      </c>
    </row>
    <row r="528">
      <c r="A528" s="25" t="n"/>
      <c r="B528" s="24" t="n"/>
      <c r="C528" s="26" t="n"/>
      <c r="D528" s="24" t="n"/>
      <c r="E528" s="30" t="n"/>
      <c r="F528" s="31">
        <f>IF(A528="","",A528-MOD(WEEKDAY(A528),7))</f>
        <v/>
      </c>
    </row>
    <row r="529">
      <c r="A529" s="25" t="n"/>
      <c r="B529" s="24" t="n"/>
      <c r="C529" s="26" t="n"/>
      <c r="D529" s="24" t="n"/>
      <c r="E529" s="30" t="n"/>
      <c r="F529" s="31">
        <f>IF(A529="","",A529-MOD(WEEKDAY(A529),7))</f>
        <v/>
      </c>
    </row>
    <row r="530">
      <c r="A530" s="25" t="n"/>
      <c r="B530" s="24" t="n"/>
      <c r="C530" s="26" t="n"/>
      <c r="D530" s="24" t="n"/>
      <c r="E530" s="30" t="n"/>
      <c r="F530" s="31">
        <f>IF(A530="","",A530-MOD(WEEKDAY(A530),7))</f>
        <v/>
      </c>
    </row>
    <row r="531">
      <c r="A531" s="25" t="n"/>
      <c r="B531" s="24" t="n"/>
      <c r="C531" s="26" t="n"/>
      <c r="D531" s="24" t="n"/>
      <c r="E531" s="30" t="n"/>
      <c r="F531" s="31">
        <f>IF(A531="","",A531-MOD(WEEKDAY(A531),7))</f>
        <v/>
      </c>
    </row>
    <row r="532">
      <c r="A532" s="25" t="n"/>
      <c r="B532" s="24" t="n"/>
      <c r="C532" s="26" t="n"/>
      <c r="D532" s="24" t="n"/>
      <c r="E532" s="30" t="n"/>
      <c r="F532" s="31">
        <f>IF(A532="","",A532-MOD(WEEKDAY(A532),7))</f>
        <v/>
      </c>
    </row>
    <row r="533">
      <c r="A533" s="25" t="n"/>
      <c r="B533" s="24" t="n"/>
      <c r="C533" s="26" t="n"/>
      <c r="D533" s="24" t="n"/>
      <c r="E533" s="30" t="n"/>
      <c r="F533" s="31">
        <f>IF(A533="","",A533-MOD(WEEKDAY(A533),7))</f>
        <v/>
      </c>
    </row>
    <row r="534">
      <c r="A534" s="25" t="n"/>
      <c r="B534" s="24" t="n"/>
      <c r="C534" s="26" t="n"/>
      <c r="D534" s="24" t="n"/>
      <c r="E534" s="30" t="n"/>
      <c r="F534" s="31">
        <f>IF(A534="","",A534-MOD(WEEKDAY(A534),7))</f>
        <v/>
      </c>
    </row>
    <row r="535">
      <c r="A535" s="25" t="n"/>
      <c r="B535" s="24" t="n"/>
      <c r="C535" s="26" t="n"/>
      <c r="D535" s="24" t="n"/>
      <c r="E535" s="30" t="n"/>
      <c r="F535" s="31">
        <f>IF(A535="","",A535-MOD(WEEKDAY(A535),7))</f>
        <v/>
      </c>
    </row>
    <row r="536">
      <c r="A536" s="25" t="n"/>
      <c r="B536" s="24" t="n"/>
      <c r="C536" s="26" t="n"/>
      <c r="D536" s="24" t="n"/>
      <c r="E536" s="30" t="n"/>
      <c r="F536" s="31">
        <f>IF(A536="","",A536-MOD(WEEKDAY(A536),7))</f>
        <v/>
      </c>
    </row>
    <row r="537">
      <c r="A537" s="25" t="n"/>
      <c r="B537" s="24" t="n"/>
      <c r="C537" s="26" t="n"/>
      <c r="D537" s="24" t="n"/>
      <c r="E537" s="30" t="n"/>
      <c r="F537" s="31">
        <f>IF(A537="","",A537-MOD(WEEKDAY(A537),7))</f>
        <v/>
      </c>
    </row>
    <row r="538">
      <c r="A538" s="25" t="n"/>
      <c r="B538" s="24" t="n"/>
      <c r="C538" s="26" t="n"/>
      <c r="D538" s="24" t="n"/>
      <c r="E538" s="30" t="n"/>
      <c r="F538" s="31">
        <f>IF(A538="","",A538-MOD(WEEKDAY(A538),7))</f>
        <v/>
      </c>
    </row>
    <row r="539">
      <c r="A539" s="25" t="n"/>
      <c r="B539" s="24" t="n"/>
      <c r="C539" s="26" t="n"/>
      <c r="D539" s="24" t="n"/>
      <c r="E539" s="30" t="n"/>
      <c r="F539" s="31">
        <f>IF(A539="","",A539-MOD(WEEKDAY(A539),7))</f>
        <v/>
      </c>
    </row>
    <row r="540">
      <c r="A540" s="25" t="n"/>
      <c r="B540" s="24" t="n"/>
      <c r="C540" s="26" t="n"/>
      <c r="D540" s="24" t="n"/>
      <c r="E540" s="30" t="n"/>
      <c r="F540" s="31">
        <f>IF(A540="","",A540-MOD(WEEKDAY(A540),7))</f>
        <v/>
      </c>
    </row>
    <row r="541">
      <c r="A541" s="25" t="n"/>
      <c r="B541" s="24" t="n"/>
      <c r="C541" s="26" t="n"/>
      <c r="D541" s="24" t="n"/>
      <c r="E541" s="30" t="n"/>
      <c r="F541" s="31">
        <f>IF(A541="","",A541-MOD(WEEKDAY(A541),7))</f>
        <v/>
      </c>
    </row>
    <row r="542">
      <c r="A542" s="25" t="n"/>
      <c r="B542" s="24" t="n"/>
      <c r="C542" s="26" t="n"/>
      <c r="D542" s="24" t="n"/>
      <c r="E542" s="30" t="n"/>
      <c r="F542" s="31">
        <f>IF(A542="","",A542-MOD(WEEKDAY(A542),7))</f>
        <v/>
      </c>
    </row>
    <row r="543">
      <c r="A543" s="25" t="n"/>
      <c r="B543" s="24" t="n"/>
      <c r="C543" s="26" t="n"/>
      <c r="D543" s="24" t="n"/>
      <c r="E543" s="30" t="n"/>
      <c r="F543" s="31">
        <f>IF(A543="","",A543-MOD(WEEKDAY(A543),7))</f>
        <v/>
      </c>
    </row>
    <row r="544">
      <c r="A544" s="25" t="n"/>
      <c r="B544" s="24" t="n"/>
      <c r="C544" s="26" t="n"/>
      <c r="D544" s="24" t="n"/>
      <c r="E544" s="30" t="n"/>
      <c r="F544" s="31">
        <f>IF(A544="","",A544-MOD(WEEKDAY(A544),7))</f>
        <v/>
      </c>
    </row>
    <row r="545">
      <c r="A545" s="25" t="n"/>
      <c r="B545" s="24" t="n"/>
      <c r="C545" s="26" t="n"/>
      <c r="D545" s="24" t="n"/>
      <c r="E545" s="30" t="n"/>
      <c r="F545" s="31">
        <f>IF(A545="","",A545-MOD(WEEKDAY(A545),7))</f>
        <v/>
      </c>
    </row>
    <row r="546">
      <c r="A546" s="25" t="n"/>
      <c r="B546" s="24" t="n"/>
      <c r="C546" s="26" t="n"/>
      <c r="D546" s="24" t="n"/>
      <c r="E546" s="30" t="n"/>
      <c r="F546" s="31">
        <f>IF(A546="","",A546-MOD(WEEKDAY(A546),7))</f>
        <v/>
      </c>
    </row>
    <row r="547">
      <c r="A547" s="25" t="n"/>
      <c r="B547" s="24" t="n"/>
      <c r="C547" s="26" t="n"/>
      <c r="D547" s="24" t="n"/>
      <c r="E547" s="30" t="n"/>
      <c r="F547" s="31">
        <f>IF(A547="","",A547-MOD(WEEKDAY(A547),7))</f>
        <v/>
      </c>
    </row>
    <row r="548">
      <c r="A548" s="25" t="n"/>
      <c r="B548" s="24" t="n"/>
      <c r="C548" s="26" t="n"/>
      <c r="D548" s="24" t="n"/>
      <c r="E548" s="30" t="n"/>
      <c r="F548" s="31">
        <f>IF(A548="","",A548-MOD(WEEKDAY(A548),7))</f>
        <v/>
      </c>
    </row>
    <row r="549">
      <c r="A549" s="25" t="n"/>
      <c r="B549" s="24" t="n"/>
      <c r="C549" s="26" t="n"/>
      <c r="D549" s="24" t="n"/>
      <c r="E549" s="30" t="n"/>
      <c r="F549" s="31">
        <f>IF(A549="","",A549-MOD(WEEKDAY(A549),7))</f>
        <v/>
      </c>
    </row>
    <row r="550">
      <c r="A550" s="25" t="n"/>
      <c r="B550" s="24" t="n"/>
      <c r="C550" s="26" t="n"/>
      <c r="D550" s="24" t="n"/>
      <c r="E550" s="30" t="n"/>
      <c r="F550" s="31">
        <f>IF(A550="","",A550-MOD(WEEKDAY(A550),7))</f>
        <v/>
      </c>
    </row>
    <row r="551">
      <c r="A551" s="25" t="n"/>
      <c r="B551" s="24" t="n"/>
      <c r="C551" s="26" t="n"/>
      <c r="D551" s="24" t="n"/>
      <c r="E551" s="30" t="n"/>
      <c r="F551" s="31">
        <f>IF(A551="","",A551-MOD(WEEKDAY(A551),7))</f>
        <v/>
      </c>
    </row>
    <row r="552">
      <c r="A552" s="25" t="n"/>
      <c r="B552" s="24" t="n"/>
      <c r="C552" s="26" t="n"/>
      <c r="D552" s="24" t="n"/>
      <c r="E552" s="30" t="n"/>
      <c r="F552" s="31">
        <f>IF(A552="","",A552-MOD(WEEKDAY(A552),7))</f>
        <v/>
      </c>
    </row>
    <row r="553">
      <c r="A553" s="25" t="n"/>
      <c r="B553" s="24" t="n"/>
      <c r="C553" s="26" t="n"/>
      <c r="D553" s="24" t="n"/>
      <c r="E553" s="30" t="n"/>
      <c r="F553" s="31">
        <f>IF(A553="","",A553-MOD(WEEKDAY(A553),7))</f>
        <v/>
      </c>
    </row>
    <row r="554">
      <c r="A554" s="25" t="n"/>
      <c r="B554" s="24" t="n"/>
      <c r="C554" s="26" t="n"/>
      <c r="D554" s="24" t="n"/>
      <c r="E554" s="30" t="n"/>
      <c r="F554" s="31">
        <f>IF(A554="","",A554-MOD(WEEKDAY(A554),7))</f>
        <v/>
      </c>
    </row>
    <row r="555">
      <c r="A555" s="25" t="n"/>
      <c r="B555" s="24" t="n"/>
      <c r="C555" s="26" t="n"/>
      <c r="D555" s="24" t="n"/>
      <c r="E555" s="30" t="n"/>
      <c r="F555" s="31">
        <f>IF(A555="","",A555-MOD(WEEKDAY(A555),7))</f>
        <v/>
      </c>
    </row>
    <row r="556">
      <c r="A556" s="25" t="n"/>
      <c r="B556" s="24" t="n"/>
      <c r="C556" s="26" t="n"/>
      <c r="D556" s="24" t="n"/>
      <c r="E556" s="30" t="n"/>
      <c r="F556" s="31">
        <f>IF(A556="","",A556-MOD(WEEKDAY(A556),7))</f>
        <v/>
      </c>
    </row>
    <row r="557">
      <c r="A557" s="25" t="n"/>
      <c r="B557" s="24" t="n"/>
      <c r="C557" s="26" t="n"/>
      <c r="D557" s="24" t="n"/>
      <c r="E557" s="30" t="n"/>
      <c r="F557" s="31">
        <f>IF(A557="","",A557-MOD(WEEKDAY(A557),7))</f>
        <v/>
      </c>
    </row>
    <row r="558">
      <c r="A558" s="25" t="n"/>
      <c r="B558" s="24" t="n"/>
      <c r="C558" s="26" t="n"/>
      <c r="D558" s="24" t="n"/>
      <c r="E558" s="30" t="n"/>
      <c r="F558" s="31">
        <f>IF(A558="","",A558-MOD(WEEKDAY(A558),7))</f>
        <v/>
      </c>
    </row>
    <row r="559">
      <c r="A559" s="25" t="n"/>
      <c r="B559" s="24" t="n"/>
      <c r="C559" s="26" t="n"/>
      <c r="D559" s="24" t="n"/>
      <c r="E559" s="30" t="n"/>
      <c r="F559" s="31">
        <f>IF(A559="","",A559-MOD(WEEKDAY(A559),7))</f>
        <v/>
      </c>
    </row>
    <row r="560">
      <c r="A560" s="25" t="n"/>
      <c r="B560" s="24" t="n"/>
      <c r="C560" s="26" t="n"/>
      <c r="D560" s="24" t="n"/>
      <c r="E560" s="30" t="n"/>
      <c r="F560" s="31">
        <f>IF(A560="","",A560-MOD(WEEKDAY(A560),7))</f>
        <v/>
      </c>
    </row>
    <row r="561">
      <c r="A561" s="25" t="n"/>
      <c r="B561" s="24" t="n"/>
      <c r="C561" s="26" t="n"/>
      <c r="D561" s="24" t="n"/>
      <c r="E561" s="30" t="n"/>
      <c r="F561" s="31">
        <f>IF(A561="","",A561-MOD(WEEKDAY(A561),7))</f>
        <v/>
      </c>
    </row>
    <row r="562">
      <c r="A562" s="25" t="n"/>
      <c r="B562" s="24" t="n"/>
      <c r="C562" s="26" t="n"/>
      <c r="D562" s="24" t="n"/>
      <c r="E562" s="30" t="n"/>
      <c r="F562" s="31">
        <f>IF(A562="","",A562-MOD(WEEKDAY(A562),7))</f>
        <v/>
      </c>
    </row>
    <row r="563">
      <c r="A563" s="25" t="n"/>
      <c r="B563" s="24" t="n"/>
      <c r="C563" s="26" t="n"/>
      <c r="D563" s="24" t="n"/>
      <c r="E563" s="30" t="n"/>
      <c r="F563" s="31">
        <f>IF(A563="","",A563-MOD(WEEKDAY(A563),7))</f>
        <v/>
      </c>
    </row>
    <row r="564">
      <c r="A564" s="25" t="n"/>
      <c r="B564" s="24" t="n"/>
      <c r="C564" s="26" t="n"/>
      <c r="D564" s="24" t="n"/>
      <c r="E564" s="30" t="n"/>
      <c r="F564" s="31">
        <f>IF(A564="","",A564-MOD(WEEKDAY(A564),7))</f>
        <v/>
      </c>
    </row>
    <row r="565">
      <c r="A565" s="25" t="n"/>
      <c r="B565" s="24" t="n"/>
      <c r="C565" s="26" t="n"/>
      <c r="D565" s="24" t="n"/>
      <c r="E565" s="30" t="n"/>
      <c r="F565" s="31">
        <f>IF(A565="","",A565-MOD(WEEKDAY(A565),7))</f>
        <v/>
      </c>
    </row>
    <row r="566">
      <c r="A566" s="25" t="n"/>
      <c r="B566" s="24" t="n"/>
      <c r="C566" s="26" t="n"/>
      <c r="D566" s="24" t="n"/>
      <c r="E566" s="30" t="n"/>
      <c r="F566" s="31">
        <f>IF(A566="","",A566-MOD(WEEKDAY(A566),7))</f>
        <v/>
      </c>
    </row>
    <row r="567">
      <c r="A567" s="25" t="n"/>
      <c r="B567" s="24" t="n"/>
      <c r="C567" s="26" t="n"/>
      <c r="D567" s="24" t="n"/>
      <c r="E567" s="30" t="n"/>
      <c r="F567" s="31">
        <f>IF(A567="","",A567-MOD(WEEKDAY(A567),7))</f>
        <v/>
      </c>
    </row>
    <row r="568">
      <c r="A568" s="25" t="n"/>
      <c r="B568" s="24" t="n"/>
      <c r="C568" s="26" t="n"/>
      <c r="D568" s="24" t="n"/>
      <c r="E568" s="30" t="n"/>
      <c r="F568" s="31">
        <f>IF(A568="","",A568-MOD(WEEKDAY(A568),7))</f>
        <v/>
      </c>
    </row>
    <row r="569">
      <c r="A569" s="25" t="n"/>
      <c r="B569" s="24" t="n"/>
      <c r="C569" s="26" t="n"/>
      <c r="D569" s="24" t="n"/>
      <c r="E569" s="30" t="n"/>
      <c r="F569" s="31">
        <f>IF(A569="","",A569-MOD(WEEKDAY(A569),7))</f>
        <v/>
      </c>
    </row>
    <row r="570">
      <c r="A570" s="25" t="n"/>
      <c r="B570" s="24" t="n"/>
      <c r="C570" s="26" t="n"/>
      <c r="D570" s="24" t="n"/>
      <c r="E570" s="30" t="n"/>
      <c r="F570" s="31">
        <f>IF(A570="","",A570-MOD(WEEKDAY(A570),7))</f>
        <v/>
      </c>
    </row>
    <row r="571">
      <c r="A571" s="25" t="n"/>
      <c r="B571" s="24" t="n"/>
      <c r="C571" s="26" t="n"/>
      <c r="D571" s="24" t="n"/>
      <c r="E571" s="30" t="n"/>
      <c r="F571" s="31">
        <f>IF(A571="","",A571-MOD(WEEKDAY(A571),7))</f>
        <v/>
      </c>
    </row>
    <row r="572">
      <c r="A572" s="25" t="n"/>
      <c r="B572" s="24" t="n"/>
      <c r="C572" s="26" t="n"/>
      <c r="D572" s="24" t="n"/>
      <c r="E572" s="30" t="n"/>
      <c r="F572" s="31">
        <f>IF(A572="","",A572-MOD(WEEKDAY(A572),7))</f>
        <v/>
      </c>
    </row>
    <row r="573">
      <c r="A573" s="25" t="n"/>
      <c r="B573" s="24" t="n"/>
      <c r="C573" s="26" t="n"/>
      <c r="D573" s="24" t="n"/>
      <c r="E573" s="30" t="n"/>
      <c r="F573" s="31">
        <f>IF(A573="","",A573-MOD(WEEKDAY(A573),7))</f>
        <v/>
      </c>
    </row>
    <row r="574">
      <c r="A574" s="25" t="n"/>
      <c r="B574" s="24" t="n"/>
      <c r="C574" s="26" t="n"/>
      <c r="D574" s="24" t="n"/>
      <c r="E574" s="30" t="n"/>
      <c r="F574" s="31">
        <f>IF(A574="","",A574-MOD(WEEKDAY(A574),7))</f>
        <v/>
      </c>
    </row>
    <row r="575">
      <c r="A575" s="25" t="n"/>
      <c r="B575" s="24" t="n"/>
      <c r="C575" s="26" t="n"/>
      <c r="D575" s="24" t="n"/>
      <c r="E575" s="30" t="n"/>
      <c r="F575" s="31">
        <f>IF(A575="","",A575-MOD(WEEKDAY(A575),7))</f>
        <v/>
      </c>
    </row>
    <row r="576">
      <c r="A576" s="25" t="n"/>
      <c r="B576" s="24" t="n"/>
      <c r="C576" s="26" t="n"/>
      <c r="D576" s="24" t="n"/>
      <c r="E576" s="30" t="n"/>
      <c r="F576" s="31">
        <f>IF(A576="","",A576-MOD(WEEKDAY(A576),7))</f>
        <v/>
      </c>
    </row>
    <row r="577">
      <c r="A577" s="25" t="n"/>
      <c r="B577" s="24" t="n"/>
      <c r="C577" s="26" t="n"/>
      <c r="D577" s="24" t="n"/>
      <c r="E577" s="30" t="n"/>
      <c r="F577" s="31">
        <f>IF(A577="","",A577-MOD(WEEKDAY(A577),7))</f>
        <v/>
      </c>
    </row>
    <row r="578">
      <c r="A578" s="25" t="n"/>
      <c r="B578" s="24" t="n"/>
      <c r="C578" s="26" t="n"/>
      <c r="D578" s="24" t="n"/>
      <c r="E578" s="30" t="n"/>
      <c r="F578" s="31">
        <f>IF(A578="","",A578-MOD(WEEKDAY(A578),7))</f>
        <v/>
      </c>
    </row>
    <row r="579">
      <c r="A579" s="25" t="n"/>
      <c r="B579" s="24" t="n"/>
      <c r="C579" s="26" t="n"/>
      <c r="D579" s="24" t="n"/>
      <c r="E579" s="30" t="n"/>
      <c r="F579" s="31">
        <f>IF(A579="","",A579-MOD(WEEKDAY(A579),7))</f>
        <v/>
      </c>
    </row>
    <row r="580">
      <c r="A580" s="25" t="n"/>
      <c r="B580" s="24" t="n"/>
      <c r="C580" s="26" t="n"/>
      <c r="D580" s="24" t="n"/>
      <c r="E580" s="30" t="n"/>
      <c r="F580" s="31">
        <f>IF(A580="","",A580-MOD(WEEKDAY(A580),7))</f>
        <v/>
      </c>
    </row>
    <row r="581">
      <c r="A581" s="25" t="n"/>
      <c r="B581" s="24" t="n"/>
      <c r="C581" s="26" t="n"/>
      <c r="D581" s="24" t="n"/>
      <c r="E581" s="30" t="n"/>
      <c r="F581" s="31">
        <f>IF(A581="","",A581-MOD(WEEKDAY(A581),7))</f>
        <v/>
      </c>
    </row>
    <row r="582">
      <c r="A582" s="25" t="n"/>
      <c r="B582" s="24" t="n"/>
      <c r="C582" s="26" t="n"/>
      <c r="D582" s="24" t="n"/>
      <c r="E582" s="30" t="n"/>
      <c r="F582" s="31">
        <f>IF(A582="","",A582-MOD(WEEKDAY(A582),7))</f>
        <v/>
      </c>
    </row>
    <row r="583">
      <c r="A583" s="25" t="n"/>
      <c r="B583" s="24" t="n"/>
      <c r="C583" s="26" t="n"/>
      <c r="D583" s="24" t="n"/>
      <c r="E583" s="30" t="n"/>
      <c r="F583" s="31">
        <f>IF(A583="","",A583-MOD(WEEKDAY(A583),7))</f>
        <v/>
      </c>
    </row>
    <row r="584">
      <c r="A584" s="25" t="n"/>
      <c r="B584" s="24" t="n"/>
      <c r="C584" s="26" t="n"/>
      <c r="D584" s="24" t="n"/>
      <c r="E584" s="30" t="n"/>
      <c r="F584" s="31">
        <f>IF(A584="","",A584-MOD(WEEKDAY(A584),7))</f>
        <v/>
      </c>
    </row>
    <row r="585">
      <c r="A585" s="25" t="n"/>
      <c r="B585" s="24" t="n"/>
      <c r="C585" s="26" t="n"/>
      <c r="D585" s="24" t="n"/>
      <c r="E585" s="30" t="n"/>
      <c r="F585" s="31">
        <f>IF(A585="","",A585-MOD(WEEKDAY(A585),7))</f>
        <v/>
      </c>
    </row>
    <row r="586">
      <c r="A586" s="25" t="n"/>
      <c r="B586" s="24" t="n"/>
      <c r="C586" s="26" t="n"/>
      <c r="D586" s="24" t="n"/>
      <c r="E586" s="30" t="n"/>
      <c r="F586" s="31">
        <f>IF(A586="","",A586-MOD(WEEKDAY(A586),7))</f>
        <v/>
      </c>
    </row>
    <row r="587">
      <c r="A587" s="25" t="n"/>
      <c r="B587" s="24" t="n"/>
      <c r="C587" s="26" t="n"/>
      <c r="D587" s="24" t="n"/>
      <c r="E587" s="30" t="n"/>
      <c r="F587" s="31">
        <f>IF(A587="","",A587-MOD(WEEKDAY(A587),7))</f>
        <v/>
      </c>
    </row>
    <row r="588">
      <c r="A588" s="25" t="n"/>
      <c r="B588" s="24" t="n"/>
      <c r="C588" s="26" t="n"/>
      <c r="D588" s="24" t="n"/>
      <c r="E588" s="30" t="n"/>
      <c r="F588" s="31">
        <f>IF(A588="","",A588-MOD(WEEKDAY(A588),7))</f>
        <v/>
      </c>
    </row>
    <row r="589">
      <c r="A589" s="25" t="n"/>
      <c r="B589" s="24" t="n"/>
      <c r="C589" s="26" t="n"/>
      <c r="D589" s="24" t="n"/>
      <c r="E589" s="30" t="n"/>
      <c r="F589" s="31">
        <f>IF(A589="","",A589-MOD(WEEKDAY(A589),7))</f>
        <v/>
      </c>
    </row>
    <row r="590">
      <c r="A590" s="25" t="n"/>
      <c r="B590" s="24" t="n"/>
      <c r="C590" s="26" t="n"/>
      <c r="D590" s="24" t="n"/>
      <c r="E590" s="30" t="n"/>
      <c r="F590" s="31">
        <f>IF(A590="","",A590-MOD(WEEKDAY(A590),7))</f>
        <v/>
      </c>
    </row>
    <row r="591">
      <c r="A591" s="25" t="n"/>
      <c r="B591" s="24" t="n"/>
      <c r="C591" s="26" t="n"/>
      <c r="D591" s="24" t="n"/>
      <c r="E591" s="30" t="n"/>
      <c r="F591" s="31">
        <f>IF(A591="","",A591-MOD(WEEKDAY(A591),7))</f>
        <v/>
      </c>
    </row>
    <row r="592">
      <c r="A592" s="25" t="n"/>
      <c r="B592" s="24" t="n"/>
      <c r="C592" s="26" t="n"/>
      <c r="D592" s="24" t="n"/>
      <c r="E592" s="30" t="n"/>
      <c r="F592" s="31">
        <f>IF(A592="","",A592-MOD(WEEKDAY(A592),7))</f>
        <v/>
      </c>
    </row>
    <row r="593">
      <c r="A593" s="25" t="n"/>
      <c r="B593" s="24" t="n"/>
      <c r="C593" s="26" t="n"/>
      <c r="D593" s="24" t="n"/>
      <c r="E593" s="30" t="n"/>
      <c r="F593" s="31">
        <f>IF(A593="","",A593-MOD(WEEKDAY(A593),7))</f>
        <v/>
      </c>
    </row>
    <row r="594">
      <c r="A594" s="25" t="n"/>
      <c r="B594" s="24" t="n"/>
      <c r="C594" s="26" t="n"/>
      <c r="D594" s="24" t="n"/>
      <c r="E594" s="30" t="n"/>
      <c r="F594" s="31">
        <f>IF(A594="","",A594-MOD(WEEKDAY(A594),7))</f>
        <v/>
      </c>
    </row>
    <row r="595">
      <c r="A595" s="25" t="n"/>
      <c r="B595" s="24" t="n"/>
      <c r="C595" s="26" t="n"/>
      <c r="D595" s="24" t="n"/>
      <c r="E595" s="30" t="n"/>
      <c r="F595" s="31">
        <f>IF(A595="","",A595-MOD(WEEKDAY(A595),7))</f>
        <v/>
      </c>
    </row>
    <row r="596">
      <c r="A596" s="25" t="n"/>
      <c r="B596" s="24" t="n"/>
      <c r="C596" s="26" t="n"/>
      <c r="D596" s="24" t="n"/>
      <c r="E596" s="30" t="n"/>
      <c r="F596" s="31">
        <f>IF(A596="","",A596-MOD(WEEKDAY(A596),7))</f>
        <v/>
      </c>
    </row>
    <row r="597">
      <c r="A597" s="25" t="n"/>
      <c r="B597" s="24" t="n"/>
      <c r="C597" s="26" t="n"/>
      <c r="D597" s="24" t="n"/>
      <c r="E597" s="30" t="n"/>
      <c r="F597" s="31">
        <f>IF(A597="","",A597-MOD(WEEKDAY(A597),7))</f>
        <v/>
      </c>
    </row>
    <row r="598">
      <c r="A598" s="25" t="n"/>
      <c r="B598" s="24" t="n"/>
      <c r="C598" s="26" t="n"/>
      <c r="D598" s="24" t="n"/>
      <c r="E598" s="30" t="n"/>
      <c r="F598" s="31">
        <f>IF(A598="","",A598-MOD(WEEKDAY(A598),7))</f>
        <v/>
      </c>
    </row>
    <row r="599">
      <c r="A599" s="25" t="n"/>
      <c r="B599" s="24" t="n"/>
      <c r="C599" s="26" t="n"/>
      <c r="D599" s="24" t="n"/>
      <c r="E599" s="30" t="n"/>
      <c r="F599" s="31">
        <f>IF(A599="","",A599-MOD(WEEKDAY(A599),7))</f>
        <v/>
      </c>
    </row>
    <row r="600">
      <c r="A600" s="25" t="n"/>
      <c r="B600" s="24" t="n"/>
      <c r="C600" s="26" t="n"/>
      <c r="D600" s="24" t="n"/>
      <c r="E600" s="30" t="n"/>
      <c r="F600" s="31">
        <f>IF(A600="","",A600-MOD(WEEKDAY(A600),7))</f>
        <v/>
      </c>
    </row>
    <row r="601">
      <c r="A601" s="25" t="n"/>
      <c r="B601" s="24" t="n"/>
      <c r="C601" s="26" t="n"/>
      <c r="D601" s="24" t="n"/>
      <c r="E601" s="30" t="n"/>
      <c r="F601" s="31">
        <f>IF(A601="","",A601-MOD(WEEKDAY(A601),7))</f>
        <v/>
      </c>
    </row>
    <row r="602">
      <c r="A602" s="25" t="n"/>
      <c r="B602" s="24" t="n"/>
      <c r="C602" s="26" t="n"/>
      <c r="D602" s="24" t="n"/>
      <c r="E602" s="30" t="n"/>
      <c r="F602" s="31">
        <f>IF(A602="","",A602-MOD(WEEKDAY(A602),7))</f>
        <v/>
      </c>
    </row>
    <row r="603">
      <c r="A603" s="25" t="n"/>
      <c r="B603" s="24" t="n"/>
      <c r="C603" s="26" t="n"/>
      <c r="D603" s="24" t="n"/>
      <c r="E603" s="30" t="n"/>
      <c r="F603" s="31">
        <f>IF(A603="","",A603-MOD(WEEKDAY(A603),7))</f>
        <v/>
      </c>
    </row>
    <row r="604">
      <c r="A604" s="25" t="n"/>
      <c r="B604" s="24" t="n"/>
      <c r="C604" s="26" t="n"/>
      <c r="D604" s="24" t="n"/>
      <c r="E604" s="30" t="n"/>
      <c r="F604" s="31">
        <f>IF(A604="","",A604-MOD(WEEKDAY(A604),7))</f>
        <v/>
      </c>
    </row>
    <row r="605">
      <c r="A605" s="25" t="n"/>
      <c r="B605" s="24" t="n"/>
      <c r="C605" s="26" t="n"/>
      <c r="D605" s="24" t="n"/>
      <c r="E605" s="30" t="n"/>
      <c r="F605" s="31">
        <f>IF(A605="","",A605-MOD(WEEKDAY(A605),7))</f>
        <v/>
      </c>
    </row>
    <row r="606">
      <c r="A606" s="25" t="n"/>
      <c r="B606" s="24" t="n"/>
      <c r="C606" s="26" t="n"/>
      <c r="D606" s="24" t="n"/>
      <c r="E606" s="30" t="n"/>
      <c r="F606" s="31">
        <f>IF(A606="","",A606-MOD(WEEKDAY(A606),7))</f>
        <v/>
      </c>
    </row>
    <row r="607">
      <c r="A607" s="25" t="n"/>
      <c r="B607" s="24" t="n"/>
      <c r="C607" s="26" t="n"/>
      <c r="D607" s="24" t="n"/>
      <c r="E607" s="30" t="n"/>
      <c r="F607" s="31">
        <f>IF(A607="","",A607-MOD(WEEKDAY(A607),7))</f>
        <v/>
      </c>
    </row>
    <row r="608">
      <c r="A608" s="25" t="n"/>
      <c r="B608" s="24" t="n"/>
      <c r="C608" s="26" t="n"/>
      <c r="D608" s="24" t="n"/>
      <c r="E608" s="30" t="n"/>
      <c r="F608" s="31">
        <f>IF(A608="","",A608-MOD(WEEKDAY(A608),7))</f>
        <v/>
      </c>
    </row>
    <row r="609">
      <c r="A609" s="25" t="n"/>
      <c r="B609" s="24" t="n"/>
      <c r="C609" s="26" t="n"/>
      <c r="D609" s="24" t="n"/>
      <c r="E609" s="30" t="n"/>
      <c r="F609" s="31">
        <f>IF(A609="","",A609-MOD(WEEKDAY(A609),7))</f>
        <v/>
      </c>
    </row>
    <row r="610">
      <c r="A610" s="25" t="n"/>
      <c r="B610" s="24" t="n"/>
      <c r="C610" s="26" t="n"/>
      <c r="D610" s="24" t="n"/>
      <c r="E610" s="30" t="n"/>
      <c r="F610" s="31">
        <f>IF(A610="","",A610-MOD(WEEKDAY(A610),7))</f>
        <v/>
      </c>
    </row>
    <row r="611">
      <c r="A611" s="25" t="n"/>
      <c r="B611" s="24" t="n"/>
      <c r="C611" s="26" t="n"/>
      <c r="D611" s="24" t="n"/>
      <c r="E611" s="30" t="n"/>
      <c r="F611" s="31">
        <f>IF(A611="","",A611-MOD(WEEKDAY(A611),7))</f>
        <v/>
      </c>
    </row>
    <row r="612">
      <c r="A612" s="25" t="n"/>
      <c r="B612" s="24" t="n"/>
      <c r="C612" s="26" t="n"/>
      <c r="D612" s="24" t="n"/>
      <c r="E612" s="30" t="n"/>
      <c r="F612" s="31">
        <f>IF(A612="","",A612-MOD(WEEKDAY(A612),7))</f>
        <v/>
      </c>
    </row>
    <row r="613">
      <c r="A613" s="25" t="n"/>
      <c r="B613" s="24" t="n"/>
      <c r="C613" s="26" t="n"/>
      <c r="D613" s="24" t="n"/>
      <c r="E613" s="30" t="n"/>
      <c r="F613" s="31">
        <f>IF(A613="","",A613-MOD(WEEKDAY(A613),7))</f>
        <v/>
      </c>
    </row>
    <row r="614">
      <c r="A614" s="25" t="n"/>
      <c r="B614" s="24" t="n"/>
      <c r="C614" s="26" t="n"/>
      <c r="D614" s="24" t="n"/>
      <c r="E614" s="30" t="n"/>
      <c r="F614" s="31">
        <f>IF(A614="","",A614-MOD(WEEKDAY(A614),7))</f>
        <v/>
      </c>
    </row>
    <row r="615">
      <c r="A615" s="25" t="n"/>
      <c r="B615" s="24" t="n"/>
      <c r="C615" s="26" t="n"/>
      <c r="D615" s="24" t="n"/>
      <c r="E615" s="30" t="n"/>
      <c r="F615" s="31">
        <f>IF(A615="","",A615-MOD(WEEKDAY(A615),7))</f>
        <v/>
      </c>
    </row>
    <row r="616">
      <c r="A616" s="25" t="n"/>
      <c r="B616" s="24" t="n"/>
      <c r="C616" s="26" t="n"/>
      <c r="D616" s="24" t="n"/>
      <c r="E616" s="30" t="n"/>
      <c r="F616" s="31">
        <f>IF(A616="","",A616-MOD(WEEKDAY(A616),7))</f>
        <v/>
      </c>
    </row>
    <row r="617">
      <c r="A617" s="25" t="n"/>
      <c r="B617" s="24" t="n"/>
      <c r="C617" s="26" t="n"/>
      <c r="D617" s="24" t="n"/>
      <c r="E617" s="30" t="n"/>
      <c r="F617" s="31">
        <f>IF(A617="","",A617-MOD(WEEKDAY(A617),7))</f>
        <v/>
      </c>
    </row>
    <row r="618">
      <c r="A618" s="25" t="n"/>
      <c r="B618" s="24" t="n"/>
      <c r="C618" s="26" t="n"/>
      <c r="D618" s="24" t="n"/>
      <c r="E618" s="30" t="n"/>
      <c r="F618" s="31">
        <f>IF(A618="","",A618-MOD(WEEKDAY(A618),7))</f>
        <v/>
      </c>
    </row>
    <row r="619">
      <c r="A619" s="25" t="n"/>
      <c r="B619" s="24" t="n"/>
      <c r="C619" s="26" t="n"/>
      <c r="D619" s="24" t="n"/>
      <c r="E619" s="30" t="n"/>
      <c r="F619" s="31">
        <f>IF(A619="","",A619-MOD(WEEKDAY(A619),7))</f>
        <v/>
      </c>
    </row>
    <row r="620">
      <c r="A620" s="25" t="n"/>
      <c r="B620" s="24" t="n"/>
      <c r="C620" s="26" t="n"/>
      <c r="D620" s="24" t="n"/>
      <c r="E620" s="30" t="n"/>
      <c r="F620" s="31">
        <f>IF(A620="","",A620-MOD(WEEKDAY(A620),7))</f>
        <v/>
      </c>
    </row>
    <row r="621">
      <c r="A621" s="25" t="n"/>
      <c r="B621" s="24" t="n"/>
      <c r="C621" s="26" t="n"/>
      <c r="D621" s="24" t="n"/>
      <c r="E621" s="30" t="n"/>
      <c r="F621" s="31">
        <f>IF(A621="","",A621-MOD(WEEKDAY(A621),7))</f>
        <v/>
      </c>
    </row>
    <row r="622">
      <c r="A622" s="25" t="n"/>
      <c r="B622" s="24" t="n"/>
      <c r="C622" s="26" t="n"/>
      <c r="D622" s="24" t="n"/>
      <c r="E622" s="30" t="n"/>
      <c r="F622" s="31">
        <f>IF(A622="","",A622-MOD(WEEKDAY(A622),7))</f>
        <v/>
      </c>
    </row>
    <row r="623">
      <c r="A623" s="25" t="n"/>
      <c r="B623" s="24" t="n"/>
      <c r="C623" s="26" t="n"/>
      <c r="D623" s="24" t="n"/>
      <c r="E623" s="30" t="n"/>
      <c r="F623" s="31">
        <f>IF(A623="","",A623-MOD(WEEKDAY(A623),7))</f>
        <v/>
      </c>
    </row>
    <row r="624">
      <c r="A624" s="25" t="n"/>
      <c r="B624" s="24" t="n"/>
      <c r="C624" s="26" t="n"/>
      <c r="D624" s="24" t="n"/>
      <c r="E624" s="30" t="n"/>
      <c r="F624" s="31">
        <f>IF(A624="","",A624-MOD(WEEKDAY(A624),7))</f>
        <v/>
      </c>
    </row>
    <row r="625">
      <c r="A625" s="25" t="n"/>
      <c r="B625" s="24" t="n"/>
      <c r="C625" s="26" t="n"/>
      <c r="D625" s="24" t="n"/>
      <c r="E625" s="30" t="n"/>
      <c r="F625" s="31">
        <f>IF(A625="","",A625-MOD(WEEKDAY(A625),7))</f>
        <v/>
      </c>
    </row>
    <row r="626">
      <c r="A626" s="25" t="n"/>
      <c r="B626" s="24" t="n"/>
      <c r="C626" s="26" t="n"/>
      <c r="D626" s="24" t="n"/>
      <c r="E626" s="30" t="n"/>
      <c r="F626" s="31">
        <f>IF(A626="","",A626-MOD(WEEKDAY(A626),7))</f>
        <v/>
      </c>
    </row>
    <row r="627">
      <c r="A627" s="25" t="n"/>
      <c r="B627" s="24" t="n"/>
      <c r="C627" s="26" t="n"/>
      <c r="D627" s="24" t="n"/>
      <c r="E627" s="30" t="n"/>
      <c r="F627" s="31">
        <f>IF(A627="","",A627-MOD(WEEKDAY(A627),7))</f>
        <v/>
      </c>
    </row>
    <row r="628">
      <c r="A628" s="25" t="n"/>
      <c r="B628" s="24" t="n"/>
      <c r="C628" s="26" t="n"/>
      <c r="D628" s="24" t="n"/>
      <c r="E628" s="30" t="n"/>
      <c r="F628" s="31">
        <f>IF(A628="","",A628-MOD(WEEKDAY(A628),7))</f>
        <v/>
      </c>
    </row>
    <row r="629">
      <c r="A629" s="25" t="n"/>
      <c r="B629" s="24" t="n"/>
      <c r="C629" s="26" t="n"/>
      <c r="D629" s="24" t="n"/>
      <c r="E629" s="30" t="n"/>
      <c r="F629" s="31">
        <f>IF(A629="","",A629-MOD(WEEKDAY(A629),7))</f>
        <v/>
      </c>
    </row>
    <row r="630">
      <c r="A630" s="25" t="n"/>
      <c r="B630" s="24" t="n"/>
      <c r="C630" s="26" t="n"/>
      <c r="D630" s="24" t="n"/>
      <c r="E630" s="30" t="n"/>
      <c r="F630" s="31">
        <f>IF(A630="","",A630-MOD(WEEKDAY(A630),7))</f>
        <v/>
      </c>
    </row>
    <row r="631">
      <c r="A631" s="25" t="n"/>
      <c r="B631" s="24" t="n"/>
      <c r="C631" s="26" t="n"/>
      <c r="D631" s="24" t="n"/>
      <c r="E631" s="30" t="n"/>
      <c r="F631" s="31">
        <f>IF(A631="","",A631-MOD(WEEKDAY(A631),7))</f>
        <v/>
      </c>
    </row>
    <row r="632">
      <c r="A632" s="25" t="n"/>
      <c r="B632" s="24" t="n"/>
      <c r="C632" s="26" t="n"/>
      <c r="D632" s="24" t="n"/>
      <c r="E632" s="30" t="n"/>
      <c r="F632" s="31">
        <f>IF(A632="","",A632-MOD(WEEKDAY(A632),7))</f>
        <v/>
      </c>
    </row>
    <row r="633">
      <c r="A633" s="25" t="n"/>
      <c r="B633" s="24" t="n"/>
      <c r="C633" s="26" t="n"/>
      <c r="D633" s="24" t="n"/>
      <c r="E633" s="30" t="n"/>
      <c r="F633" s="31">
        <f>IF(A633="","",A633-MOD(WEEKDAY(A633),7))</f>
        <v/>
      </c>
    </row>
    <row r="634">
      <c r="A634" s="25" t="n"/>
      <c r="B634" s="24" t="n"/>
      <c r="C634" s="26" t="n"/>
      <c r="D634" s="24" t="n"/>
      <c r="E634" s="30" t="n"/>
      <c r="F634" s="31">
        <f>IF(A634="","",A634-MOD(WEEKDAY(A634),7))</f>
        <v/>
      </c>
    </row>
    <row r="635">
      <c r="A635" s="25" t="n"/>
      <c r="B635" s="24" t="n"/>
      <c r="C635" s="26" t="n"/>
      <c r="D635" s="24" t="n"/>
      <c r="E635" s="30" t="n"/>
      <c r="F635" s="31">
        <f>IF(A635="","",A635-MOD(WEEKDAY(A635),7))</f>
        <v/>
      </c>
    </row>
    <row r="636">
      <c r="A636" s="25" t="n"/>
      <c r="B636" s="24" t="n"/>
      <c r="C636" s="26" t="n"/>
      <c r="D636" s="24" t="n"/>
      <c r="E636" s="30" t="n"/>
      <c r="F636" s="31">
        <f>IF(A636="","",A636-MOD(WEEKDAY(A636),7))</f>
        <v/>
      </c>
    </row>
    <row r="637">
      <c r="A637" s="25" t="n"/>
      <c r="B637" s="24" t="n"/>
      <c r="C637" s="26" t="n"/>
      <c r="D637" s="24" t="n"/>
      <c r="E637" s="30" t="n"/>
      <c r="F637" s="31">
        <f>IF(A637="","",A637-MOD(WEEKDAY(A637),7))</f>
        <v/>
      </c>
    </row>
    <row r="638">
      <c r="A638" s="25" t="n"/>
      <c r="B638" s="24" t="n"/>
      <c r="C638" s="26" t="n"/>
      <c r="D638" s="24" t="n"/>
      <c r="E638" s="30" t="n"/>
      <c r="F638" s="31">
        <f>IF(A638="","",A638-MOD(WEEKDAY(A638),7))</f>
        <v/>
      </c>
    </row>
    <row r="639">
      <c r="A639" s="25" t="n"/>
      <c r="B639" s="24" t="n"/>
      <c r="C639" s="26" t="n"/>
      <c r="D639" s="24" t="n"/>
      <c r="E639" s="30" t="n"/>
      <c r="F639" s="31">
        <f>IF(A639="","",A639-MOD(WEEKDAY(A639),7))</f>
        <v/>
      </c>
    </row>
    <row r="640">
      <c r="A640" s="25" t="n"/>
      <c r="B640" s="24" t="n"/>
      <c r="C640" s="26" t="n"/>
      <c r="D640" s="24" t="n"/>
      <c r="E640" s="30" t="n"/>
      <c r="F640" s="31">
        <f>IF(A640="","",A640-MOD(WEEKDAY(A640),7))</f>
        <v/>
      </c>
    </row>
    <row r="641">
      <c r="A641" s="25" t="n"/>
      <c r="B641" s="24" t="n"/>
      <c r="C641" s="26" t="n"/>
      <c r="D641" s="24" t="n"/>
      <c r="E641" s="30" t="n"/>
      <c r="F641" s="31">
        <f>IF(A641="","",A641-MOD(WEEKDAY(A641),7))</f>
        <v/>
      </c>
    </row>
    <row r="642">
      <c r="A642" s="25" t="n"/>
      <c r="B642" s="24" t="n"/>
      <c r="C642" s="26" t="n"/>
      <c r="D642" s="24" t="n"/>
      <c r="E642" s="30" t="n"/>
      <c r="F642" s="31">
        <f>IF(A642="","",A642-MOD(WEEKDAY(A642),7))</f>
        <v/>
      </c>
    </row>
    <row r="643">
      <c r="A643" s="25" t="n"/>
      <c r="B643" s="24" t="n"/>
      <c r="C643" s="26" t="n"/>
      <c r="D643" s="24" t="n"/>
      <c r="E643" s="30" t="n"/>
      <c r="F643" s="31">
        <f>IF(A643="","",A643-MOD(WEEKDAY(A643),7))</f>
        <v/>
      </c>
    </row>
    <row r="644">
      <c r="A644" s="25" t="n"/>
      <c r="B644" s="24" t="n"/>
      <c r="C644" s="26" t="n"/>
      <c r="D644" s="24" t="n"/>
      <c r="E644" s="30" t="n"/>
      <c r="F644" s="31">
        <f>IF(A644="","",A644-MOD(WEEKDAY(A644),7))</f>
        <v/>
      </c>
    </row>
    <row r="645">
      <c r="A645" s="25" t="n"/>
      <c r="B645" s="24" t="n"/>
      <c r="C645" s="26" t="n"/>
      <c r="D645" s="24" t="n"/>
      <c r="E645" s="30" t="n"/>
      <c r="F645" s="31">
        <f>IF(A645="","",A645-MOD(WEEKDAY(A645),7))</f>
        <v/>
      </c>
    </row>
    <row r="646">
      <c r="A646" s="25" t="n"/>
      <c r="B646" s="24" t="n"/>
      <c r="C646" s="26" t="n"/>
      <c r="D646" s="24" t="n"/>
      <c r="E646" s="30" t="n"/>
      <c r="F646" s="31">
        <f>IF(A646="","",A646-MOD(WEEKDAY(A646),7))</f>
        <v/>
      </c>
    </row>
    <row r="647">
      <c r="A647" s="25" t="n"/>
      <c r="B647" s="24" t="n"/>
      <c r="C647" s="26" t="n"/>
      <c r="D647" s="24" t="n"/>
      <c r="E647" s="30" t="n"/>
      <c r="F647" s="31">
        <f>IF(A647="","",A647-MOD(WEEKDAY(A647),7))</f>
        <v/>
      </c>
    </row>
    <row r="648">
      <c r="A648" s="25" t="n"/>
      <c r="B648" s="24" t="n"/>
      <c r="C648" s="26" t="n"/>
      <c r="D648" s="24" t="n"/>
      <c r="E648" s="30" t="n"/>
      <c r="F648" s="31">
        <f>IF(A648="","",A648-MOD(WEEKDAY(A648),7))</f>
        <v/>
      </c>
    </row>
    <row r="649">
      <c r="A649" s="25" t="n"/>
      <c r="B649" s="24" t="n"/>
      <c r="C649" s="26" t="n"/>
      <c r="D649" s="24" t="n"/>
      <c r="E649" s="30" t="n"/>
      <c r="F649" s="31">
        <f>IF(A649="","",A649-MOD(WEEKDAY(A649),7))</f>
        <v/>
      </c>
    </row>
    <row r="650">
      <c r="A650" s="25" t="n"/>
      <c r="B650" s="24" t="n"/>
      <c r="C650" s="26" t="n"/>
      <c r="D650" s="24" t="n"/>
      <c r="E650" s="30" t="n"/>
      <c r="F650" s="31">
        <f>IF(A650="","",A650-MOD(WEEKDAY(A650),7))</f>
        <v/>
      </c>
    </row>
    <row r="651">
      <c r="A651" s="25" t="n"/>
      <c r="B651" s="24" t="n"/>
      <c r="C651" s="26" t="n"/>
      <c r="D651" s="24" t="n"/>
      <c r="E651" s="30" t="n"/>
      <c r="F651" s="31">
        <f>IF(A651="","",A651-MOD(WEEKDAY(A651),7))</f>
        <v/>
      </c>
    </row>
    <row r="652">
      <c r="A652" s="25" t="n"/>
      <c r="B652" s="24" t="n"/>
      <c r="C652" s="26" t="n"/>
      <c r="D652" s="24" t="n"/>
      <c r="E652" s="30" t="n"/>
      <c r="F652" s="31">
        <f>IF(A652="","",A652-MOD(WEEKDAY(A652),7))</f>
        <v/>
      </c>
    </row>
    <row r="653">
      <c r="A653" s="25" t="n"/>
      <c r="B653" s="24" t="n"/>
      <c r="C653" s="26" t="n"/>
      <c r="D653" s="24" t="n"/>
      <c r="E653" s="30" t="n"/>
      <c r="F653" s="31">
        <f>IF(A653="","",A653-MOD(WEEKDAY(A653),7))</f>
        <v/>
      </c>
    </row>
    <row r="654">
      <c r="A654" s="25" t="n"/>
      <c r="B654" s="24" t="n"/>
      <c r="C654" s="26" t="n"/>
      <c r="D654" s="24" t="n"/>
      <c r="E654" s="30" t="n"/>
      <c r="F654" s="31">
        <f>IF(A654="","",A654-MOD(WEEKDAY(A654),7))</f>
        <v/>
      </c>
    </row>
    <row r="655">
      <c r="A655" s="25" t="n"/>
      <c r="B655" s="24" t="n"/>
      <c r="C655" s="26" t="n"/>
      <c r="D655" s="24" t="n"/>
      <c r="E655" s="30" t="n"/>
      <c r="F655" s="31">
        <f>IF(A655="","",A655-MOD(WEEKDAY(A655),7))</f>
        <v/>
      </c>
    </row>
    <row r="656">
      <c r="A656" s="25" t="n"/>
      <c r="B656" s="24" t="n"/>
      <c r="C656" s="26" t="n"/>
      <c r="D656" s="24" t="n"/>
      <c r="E656" s="30" t="n"/>
      <c r="F656" s="31">
        <f>IF(A656="","",A656-MOD(WEEKDAY(A656),7))</f>
        <v/>
      </c>
    </row>
    <row r="657">
      <c r="A657" s="25" t="n"/>
      <c r="B657" s="24" t="n"/>
      <c r="C657" s="26" t="n"/>
      <c r="D657" s="24" t="n"/>
      <c r="E657" s="30" t="n"/>
      <c r="F657" s="31">
        <f>IF(A657="","",A657-MOD(WEEKDAY(A657),7))</f>
        <v/>
      </c>
    </row>
    <row r="658">
      <c r="A658" s="25" t="n"/>
      <c r="B658" s="24" t="n"/>
      <c r="C658" s="26" t="n"/>
      <c r="D658" s="24" t="n"/>
      <c r="E658" s="30" t="n"/>
      <c r="F658" s="31">
        <f>IF(A658="","",A658-MOD(WEEKDAY(A658),7))</f>
        <v/>
      </c>
    </row>
    <row r="659">
      <c r="A659" s="25" t="n"/>
      <c r="B659" s="24" t="n"/>
      <c r="C659" s="26" t="n"/>
      <c r="D659" s="24" t="n"/>
      <c r="E659" s="30" t="n"/>
      <c r="F659" s="31">
        <f>IF(A659="","",A659-MOD(WEEKDAY(A659),7))</f>
        <v/>
      </c>
    </row>
    <row r="660">
      <c r="A660" s="25" t="n"/>
      <c r="B660" s="24" t="n"/>
      <c r="C660" s="26" t="n"/>
      <c r="D660" s="24" t="n"/>
      <c r="E660" s="30" t="n"/>
      <c r="F660" s="31">
        <f>IF(A660="","",A660-MOD(WEEKDAY(A660),7))</f>
        <v/>
      </c>
    </row>
    <row r="661">
      <c r="A661" s="25" t="n"/>
      <c r="B661" s="24" t="n"/>
      <c r="C661" s="26" t="n"/>
      <c r="D661" s="24" t="n"/>
      <c r="E661" s="30" t="n"/>
      <c r="F661" s="31">
        <f>IF(A661="","",A661-MOD(WEEKDAY(A661),7))</f>
        <v/>
      </c>
    </row>
    <row r="662">
      <c r="A662" s="25" t="n"/>
      <c r="B662" s="24" t="n"/>
      <c r="C662" s="26" t="n"/>
      <c r="D662" s="24" t="n"/>
      <c r="E662" s="30" t="n"/>
      <c r="F662" s="31">
        <f>IF(A662="","",A662-MOD(WEEKDAY(A662),7))</f>
        <v/>
      </c>
    </row>
    <row r="663">
      <c r="A663" s="25" t="n"/>
      <c r="B663" s="24" t="n"/>
      <c r="C663" s="26" t="n"/>
      <c r="D663" s="24" t="n"/>
      <c r="E663" s="30" t="n"/>
      <c r="F663" s="31">
        <f>IF(A663="","",A663-MOD(WEEKDAY(A663),7))</f>
        <v/>
      </c>
    </row>
    <row r="664">
      <c r="A664" s="25" t="n"/>
      <c r="B664" s="24" t="n"/>
      <c r="C664" s="26" t="n"/>
      <c r="D664" s="24" t="n"/>
      <c r="E664" s="30" t="n"/>
      <c r="F664" s="31">
        <f>IF(A664="","",A664-MOD(WEEKDAY(A664),7))</f>
        <v/>
      </c>
    </row>
    <row r="665">
      <c r="A665" s="25" t="n"/>
      <c r="B665" s="24" t="n"/>
      <c r="C665" s="26" t="n"/>
      <c r="D665" s="24" t="n"/>
      <c r="E665" s="30" t="n"/>
      <c r="F665" s="31">
        <f>IF(A665="","",A665-MOD(WEEKDAY(A665),7))</f>
        <v/>
      </c>
    </row>
    <row r="666">
      <c r="A666" s="25" t="n"/>
      <c r="B666" s="24" t="n"/>
      <c r="C666" s="26" t="n"/>
      <c r="D666" s="24" t="n"/>
      <c r="E666" s="30" t="n"/>
      <c r="F666" s="31">
        <f>IF(A666="","",A666-MOD(WEEKDAY(A666),7))</f>
        <v/>
      </c>
    </row>
    <row r="667">
      <c r="A667" s="25" t="n"/>
      <c r="B667" s="24" t="n"/>
      <c r="C667" s="26" t="n"/>
      <c r="D667" s="24" t="n"/>
      <c r="E667" s="30" t="n"/>
      <c r="F667" s="31">
        <f>IF(A667="","",A667-MOD(WEEKDAY(A667),7))</f>
        <v/>
      </c>
    </row>
    <row r="668">
      <c r="A668" s="25" t="n"/>
      <c r="B668" s="24" t="n"/>
      <c r="C668" s="26" t="n"/>
      <c r="D668" s="24" t="n"/>
      <c r="E668" s="30" t="n"/>
      <c r="F668" s="31">
        <f>IF(A668="","",A668-MOD(WEEKDAY(A668),7))</f>
        <v/>
      </c>
    </row>
    <row r="669">
      <c r="A669" s="25" t="n"/>
      <c r="B669" s="24" t="n"/>
      <c r="C669" s="26" t="n"/>
      <c r="D669" s="24" t="n"/>
      <c r="E669" s="30" t="n"/>
      <c r="F669" s="31">
        <f>IF(A669="","",A669-MOD(WEEKDAY(A669),7))</f>
        <v/>
      </c>
    </row>
    <row r="670">
      <c r="A670" s="25" t="n"/>
      <c r="B670" s="24" t="n"/>
      <c r="C670" s="26" t="n"/>
      <c r="D670" s="24" t="n"/>
      <c r="E670" s="30" t="n"/>
      <c r="F670" s="31">
        <f>IF(A670="","",A670-MOD(WEEKDAY(A670),7))</f>
        <v/>
      </c>
    </row>
    <row r="671">
      <c r="A671" s="25" t="n"/>
      <c r="B671" s="24" t="n"/>
      <c r="C671" s="26" t="n"/>
      <c r="D671" s="24" t="n"/>
      <c r="E671" s="30" t="n"/>
      <c r="F671" s="31">
        <f>IF(A671="","",A671-MOD(WEEKDAY(A671),7))</f>
        <v/>
      </c>
    </row>
    <row r="672">
      <c r="A672" s="25" t="n"/>
      <c r="B672" s="24" t="n"/>
      <c r="C672" s="26" t="n"/>
      <c r="D672" s="24" t="n"/>
      <c r="E672" s="30" t="n"/>
      <c r="F672" s="31">
        <f>IF(A672="","",A672-MOD(WEEKDAY(A672),7))</f>
        <v/>
      </c>
    </row>
    <row r="673">
      <c r="A673" s="25" t="n"/>
      <c r="B673" s="24" t="n"/>
      <c r="C673" s="26" t="n"/>
      <c r="D673" s="24" t="n"/>
      <c r="E673" s="30" t="n"/>
      <c r="F673" s="31">
        <f>IF(A673="","",A673-MOD(WEEKDAY(A673),7))</f>
        <v/>
      </c>
    </row>
    <row r="674">
      <c r="A674" s="25" t="n"/>
      <c r="B674" s="24" t="n"/>
      <c r="C674" s="26" t="n"/>
      <c r="D674" s="24" t="n"/>
      <c r="E674" s="30" t="n"/>
      <c r="F674" s="31">
        <f>IF(A674="","",A674-MOD(WEEKDAY(A674),7))</f>
        <v/>
      </c>
    </row>
    <row r="675">
      <c r="A675" s="25" t="n"/>
      <c r="B675" s="24" t="n"/>
      <c r="C675" s="26" t="n"/>
      <c r="D675" s="24" t="n"/>
      <c r="E675" s="30" t="n"/>
      <c r="F675" s="31">
        <f>IF(A675="","",A675-MOD(WEEKDAY(A675),7))</f>
        <v/>
      </c>
    </row>
    <row r="676">
      <c r="A676" s="25" t="n"/>
      <c r="B676" s="24" t="n"/>
      <c r="C676" s="26" t="n"/>
      <c r="D676" s="24" t="n"/>
      <c r="E676" s="30" t="n"/>
      <c r="F676" s="31">
        <f>IF(A676="","",A676-MOD(WEEKDAY(A676),7))</f>
        <v/>
      </c>
    </row>
    <row r="677">
      <c r="A677" s="25" t="n"/>
      <c r="B677" s="24" t="n"/>
      <c r="C677" s="26" t="n"/>
      <c r="D677" s="24" t="n"/>
      <c r="E677" s="30" t="n"/>
      <c r="F677" s="31">
        <f>IF(A677="","",A677-MOD(WEEKDAY(A677),7))</f>
        <v/>
      </c>
    </row>
    <row r="678">
      <c r="A678" s="25" t="n"/>
      <c r="B678" s="24" t="n"/>
      <c r="C678" s="26" t="n"/>
      <c r="D678" s="24" t="n"/>
      <c r="E678" s="30" t="n"/>
      <c r="F678" s="31">
        <f>IF(A678="","",A678-MOD(WEEKDAY(A678),7))</f>
        <v/>
      </c>
    </row>
    <row r="679">
      <c r="A679" s="25" t="n"/>
      <c r="B679" s="24" t="n"/>
      <c r="C679" s="26" t="n"/>
      <c r="D679" s="24" t="n"/>
      <c r="E679" s="30" t="n"/>
      <c r="F679" s="31">
        <f>IF(A679="","",A679-MOD(WEEKDAY(A679),7))</f>
        <v/>
      </c>
    </row>
    <row r="680">
      <c r="A680" s="25" t="n"/>
      <c r="B680" s="24" t="n"/>
      <c r="C680" s="26" t="n"/>
      <c r="D680" s="24" t="n"/>
      <c r="E680" s="30" t="n"/>
      <c r="F680" s="31">
        <f>IF(A680="","",A680-MOD(WEEKDAY(A680),7))</f>
        <v/>
      </c>
    </row>
    <row r="681">
      <c r="A681" s="25" t="n"/>
      <c r="B681" s="24" t="n"/>
      <c r="C681" s="26" t="n"/>
      <c r="D681" s="24" t="n"/>
      <c r="E681" s="30" t="n"/>
      <c r="F681" s="31">
        <f>IF(A681="","",A681-MOD(WEEKDAY(A681),7))</f>
        <v/>
      </c>
    </row>
    <row r="682">
      <c r="A682" s="25" t="n"/>
      <c r="B682" s="24" t="n"/>
      <c r="C682" s="26" t="n"/>
      <c r="D682" s="24" t="n"/>
      <c r="E682" s="30" t="n"/>
      <c r="F682" s="31">
        <f>IF(A682="","",A682-MOD(WEEKDAY(A682),7))</f>
        <v/>
      </c>
    </row>
    <row r="683">
      <c r="A683" s="25" t="n"/>
      <c r="B683" s="24" t="n"/>
      <c r="C683" s="26" t="n"/>
      <c r="D683" s="24" t="n"/>
      <c r="E683" s="30" t="n"/>
      <c r="F683" s="31">
        <f>IF(A683="","",A683-MOD(WEEKDAY(A683),7))</f>
        <v/>
      </c>
    </row>
    <row r="684">
      <c r="A684" s="25" t="n"/>
      <c r="B684" s="24" t="n"/>
      <c r="C684" s="26" t="n"/>
      <c r="D684" s="24" t="n"/>
      <c r="E684" s="30" t="n"/>
      <c r="F684" s="31">
        <f>IF(A684="","",A684-MOD(WEEKDAY(A684),7))</f>
        <v/>
      </c>
    </row>
    <row r="685">
      <c r="A685" s="25" t="n"/>
      <c r="B685" s="24" t="n"/>
      <c r="C685" s="26" t="n"/>
      <c r="D685" s="24" t="n"/>
      <c r="E685" s="30" t="n"/>
      <c r="F685" s="31">
        <f>IF(A685="","",A685-MOD(WEEKDAY(A685),7))</f>
        <v/>
      </c>
    </row>
    <row r="686">
      <c r="A686" s="25" t="n"/>
      <c r="B686" s="24" t="n"/>
      <c r="C686" s="26" t="n"/>
      <c r="D686" s="24" t="n"/>
      <c r="E686" s="30" t="n"/>
      <c r="F686" s="31">
        <f>IF(A686="","",A686-MOD(WEEKDAY(A686),7))</f>
        <v/>
      </c>
    </row>
    <row r="687">
      <c r="A687" s="25" t="n"/>
      <c r="B687" s="24" t="n"/>
      <c r="C687" s="26" t="n"/>
      <c r="D687" s="24" t="n"/>
      <c r="E687" s="30" t="n"/>
      <c r="F687" s="31">
        <f>IF(A687="","",A687-MOD(WEEKDAY(A687),7))</f>
        <v/>
      </c>
    </row>
    <row r="688">
      <c r="A688" s="25" t="n"/>
      <c r="B688" s="24" t="n"/>
      <c r="C688" s="26" t="n"/>
      <c r="D688" s="24" t="n"/>
      <c r="E688" s="30" t="n"/>
      <c r="F688" s="31">
        <f>IF(A688="","",A688-MOD(WEEKDAY(A688),7))</f>
        <v/>
      </c>
    </row>
    <row r="689">
      <c r="A689" s="25" t="n"/>
      <c r="B689" s="24" t="n"/>
      <c r="C689" s="26" t="n"/>
      <c r="D689" s="24" t="n"/>
      <c r="E689" s="30" t="n"/>
      <c r="F689" s="31">
        <f>IF(A689="","",A689-MOD(WEEKDAY(A689),7))</f>
        <v/>
      </c>
    </row>
    <row r="690">
      <c r="A690" s="25" t="n"/>
      <c r="B690" s="24" t="n"/>
      <c r="C690" s="26" t="n"/>
      <c r="D690" s="24" t="n"/>
      <c r="E690" s="30" t="n"/>
      <c r="F690" s="31">
        <f>IF(A690="","",A690-MOD(WEEKDAY(A690),7))</f>
        <v/>
      </c>
    </row>
    <row r="691">
      <c r="A691" s="25" t="n"/>
      <c r="B691" s="24" t="n"/>
      <c r="C691" s="26" t="n"/>
      <c r="D691" s="24" t="n"/>
      <c r="E691" s="30" t="n"/>
      <c r="F691" s="31">
        <f>IF(A691="","",A691-MOD(WEEKDAY(A691),7))</f>
        <v/>
      </c>
    </row>
    <row r="692">
      <c r="A692" s="25" t="n"/>
      <c r="B692" s="24" t="n"/>
      <c r="C692" s="26" t="n"/>
      <c r="D692" s="24" t="n"/>
      <c r="E692" s="30" t="n"/>
      <c r="F692" s="31">
        <f>IF(A692="","",A692-MOD(WEEKDAY(A692),7))</f>
        <v/>
      </c>
    </row>
    <row r="693">
      <c r="A693" s="25" t="n"/>
      <c r="B693" s="24" t="n"/>
      <c r="C693" s="26" t="n"/>
      <c r="D693" s="24" t="n"/>
      <c r="E693" s="30" t="n"/>
      <c r="F693" s="31">
        <f>IF(A693="","",A693-MOD(WEEKDAY(A693),7))</f>
        <v/>
      </c>
    </row>
    <row r="694">
      <c r="A694" s="25" t="n"/>
      <c r="B694" s="24" t="n"/>
      <c r="C694" s="26" t="n"/>
      <c r="D694" s="24" t="n"/>
      <c r="E694" s="30" t="n"/>
      <c r="F694" s="31">
        <f>IF(A694="","",A694-MOD(WEEKDAY(A694),7))</f>
        <v/>
      </c>
    </row>
    <row r="695">
      <c r="A695" s="25" t="n"/>
      <c r="B695" s="24" t="n"/>
      <c r="C695" s="26" t="n"/>
      <c r="D695" s="24" t="n"/>
      <c r="E695" s="30" t="n"/>
      <c r="F695" s="31">
        <f>IF(A695="","",A695-MOD(WEEKDAY(A695),7))</f>
        <v/>
      </c>
    </row>
    <row r="696">
      <c r="A696" s="25" t="n"/>
      <c r="B696" s="24" t="n"/>
      <c r="C696" s="26" t="n"/>
      <c r="D696" s="24" t="n"/>
      <c r="E696" s="30" t="n"/>
      <c r="F696" s="31">
        <f>IF(A696="","",A696-MOD(WEEKDAY(A696),7))</f>
        <v/>
      </c>
    </row>
    <row r="697">
      <c r="A697" s="25" t="n"/>
      <c r="B697" s="24" t="n"/>
      <c r="C697" s="26" t="n"/>
      <c r="D697" s="24" t="n"/>
      <c r="E697" s="30" t="n"/>
      <c r="F697" s="31">
        <f>IF(A697="","",A697-MOD(WEEKDAY(A697),7))</f>
        <v/>
      </c>
    </row>
    <row r="698">
      <c r="A698" s="25" t="n"/>
      <c r="B698" s="24" t="n"/>
      <c r="C698" s="26" t="n"/>
      <c r="D698" s="24" t="n"/>
      <c r="E698" s="30" t="n"/>
      <c r="F698" s="31">
        <f>IF(A698="","",A698-MOD(WEEKDAY(A698),7))</f>
        <v/>
      </c>
    </row>
    <row r="699">
      <c r="A699" s="25" t="n"/>
      <c r="B699" s="24" t="n"/>
      <c r="C699" s="26" t="n"/>
      <c r="D699" s="24" t="n"/>
      <c r="E699" s="30" t="n"/>
      <c r="F699" s="31">
        <f>IF(A699="","",A699-MOD(WEEKDAY(A699),7))</f>
        <v/>
      </c>
    </row>
    <row r="700">
      <c r="A700" s="25" t="n"/>
      <c r="B700" s="24" t="n"/>
      <c r="C700" s="26" t="n"/>
      <c r="D700" s="24" t="n"/>
      <c r="E700" s="30" t="n"/>
      <c r="F700" s="31">
        <f>IF(A700="","",A700-MOD(WEEKDAY(A700),7))</f>
        <v/>
      </c>
    </row>
    <row r="701">
      <c r="A701" s="25" t="n"/>
      <c r="B701" s="24" t="n"/>
      <c r="C701" s="26" t="n"/>
      <c r="D701" s="24" t="n"/>
      <c r="E701" s="30" t="n"/>
      <c r="F701" s="31">
        <f>IF(A701="","",A701-MOD(WEEKDAY(A701),7))</f>
        <v/>
      </c>
    </row>
    <row r="702">
      <c r="A702" s="25" t="n"/>
      <c r="B702" s="24" t="n"/>
      <c r="C702" s="26" t="n"/>
      <c r="D702" s="24" t="n"/>
      <c r="E702" s="30" t="n"/>
      <c r="F702" s="31">
        <f>IF(A702="","",A702-MOD(WEEKDAY(A702),7))</f>
        <v/>
      </c>
    </row>
    <row r="703">
      <c r="A703" s="25" t="n"/>
      <c r="B703" s="24" t="n"/>
      <c r="C703" s="26" t="n"/>
      <c r="D703" s="24" t="n"/>
      <c r="E703" s="30" t="n"/>
      <c r="F703" s="31">
        <f>IF(A703="","",A703-MOD(WEEKDAY(A703),7))</f>
        <v/>
      </c>
    </row>
    <row r="704">
      <c r="A704" s="25" t="n"/>
      <c r="B704" s="24" t="n"/>
      <c r="C704" s="26" t="n"/>
      <c r="D704" s="24" t="n"/>
      <c r="E704" s="30" t="n"/>
      <c r="F704" s="31">
        <f>IF(A704="","",A704-MOD(WEEKDAY(A704),7))</f>
        <v/>
      </c>
    </row>
    <row r="705">
      <c r="A705" s="25" t="n"/>
      <c r="B705" s="24" t="n"/>
      <c r="C705" s="26" t="n"/>
      <c r="D705" s="24" t="n"/>
      <c r="E705" s="30" t="n"/>
      <c r="F705" s="31">
        <f>IF(A705="","",A705-MOD(WEEKDAY(A705),7))</f>
        <v/>
      </c>
    </row>
    <row r="706">
      <c r="A706" s="25" t="n"/>
      <c r="B706" s="24" t="n"/>
      <c r="C706" s="26" t="n"/>
      <c r="D706" s="24" t="n"/>
      <c r="E706" s="30" t="n"/>
      <c r="F706" s="31">
        <f>IF(A706="","",A706-MOD(WEEKDAY(A706),7))</f>
        <v/>
      </c>
    </row>
    <row r="707">
      <c r="A707" s="25" t="n"/>
      <c r="B707" s="24" t="n"/>
      <c r="C707" s="26" t="n"/>
      <c r="D707" s="24" t="n"/>
      <c r="E707" s="30" t="n"/>
      <c r="F707" s="31">
        <f>IF(A707="","",A707-MOD(WEEKDAY(A707),7))</f>
        <v/>
      </c>
    </row>
    <row r="708">
      <c r="A708" s="25" t="n"/>
      <c r="B708" s="24" t="n"/>
      <c r="C708" s="26" t="n"/>
      <c r="D708" s="24" t="n"/>
      <c r="E708" s="30" t="n"/>
      <c r="F708" s="31">
        <f>IF(A708="","",A708-MOD(WEEKDAY(A708),7))</f>
        <v/>
      </c>
    </row>
    <row r="709">
      <c r="A709" s="25" t="n"/>
      <c r="B709" s="24" t="n"/>
      <c r="C709" s="26" t="n"/>
      <c r="D709" s="24" t="n"/>
      <c r="E709" s="30" t="n"/>
      <c r="F709" s="31">
        <f>IF(A709="","",A709-MOD(WEEKDAY(A709),7))</f>
        <v/>
      </c>
    </row>
    <row r="710">
      <c r="A710" s="25" t="n"/>
      <c r="B710" s="24" t="n"/>
      <c r="C710" s="26" t="n"/>
      <c r="D710" s="24" t="n"/>
      <c r="E710" s="30" t="n"/>
      <c r="F710" s="31">
        <f>IF(A710="","",A710-MOD(WEEKDAY(A710),7))</f>
        <v/>
      </c>
    </row>
    <row r="711">
      <c r="A711" s="25" t="n"/>
      <c r="B711" s="24" t="n"/>
      <c r="C711" s="26" t="n"/>
      <c r="D711" s="24" t="n"/>
      <c r="E711" s="30" t="n"/>
      <c r="F711" s="31">
        <f>IF(A711="","",A711-MOD(WEEKDAY(A711),7))</f>
        <v/>
      </c>
    </row>
    <row r="712">
      <c r="A712" s="25" t="n"/>
      <c r="B712" s="24" t="n"/>
      <c r="C712" s="26" t="n"/>
      <c r="D712" s="24" t="n"/>
      <c r="E712" s="30" t="n"/>
      <c r="F712" s="31">
        <f>IF(A712="","",A712-MOD(WEEKDAY(A712),7))</f>
        <v/>
      </c>
    </row>
    <row r="713">
      <c r="A713" s="25" t="n"/>
      <c r="B713" s="24" t="n"/>
      <c r="C713" s="26" t="n"/>
      <c r="D713" s="24" t="n"/>
      <c r="E713" s="30" t="n"/>
      <c r="F713" s="31">
        <f>IF(A713="","",A713-MOD(WEEKDAY(A713),7))</f>
        <v/>
      </c>
    </row>
    <row r="714">
      <c r="A714" s="25" t="n"/>
      <c r="B714" s="24" t="n"/>
      <c r="C714" s="26" t="n"/>
      <c r="D714" s="24" t="n"/>
      <c r="E714" s="30" t="n"/>
      <c r="F714" s="31">
        <f>IF(A714="","",A714-MOD(WEEKDAY(A714),7))</f>
        <v/>
      </c>
    </row>
    <row r="715">
      <c r="A715" s="25" t="n"/>
      <c r="B715" s="24" t="n"/>
      <c r="C715" s="26" t="n"/>
      <c r="D715" s="24" t="n"/>
      <c r="E715" s="30" t="n"/>
      <c r="F715" s="31">
        <f>IF(A715="","",A715-MOD(WEEKDAY(A715),7))</f>
        <v/>
      </c>
    </row>
    <row r="716">
      <c r="A716" s="25" t="n"/>
      <c r="B716" s="24" t="n"/>
      <c r="C716" s="26" t="n"/>
      <c r="D716" s="24" t="n"/>
      <c r="E716" s="30" t="n"/>
      <c r="F716" s="31">
        <f>IF(A716="","",A716-MOD(WEEKDAY(A716),7))</f>
        <v/>
      </c>
    </row>
    <row r="717">
      <c r="A717" s="25" t="n"/>
      <c r="B717" s="24" t="n"/>
      <c r="C717" s="26" t="n"/>
      <c r="D717" s="24" t="n"/>
      <c r="E717" s="30" t="n"/>
      <c r="F717" s="31">
        <f>IF(A717="","",A717-MOD(WEEKDAY(A717),7))</f>
        <v/>
      </c>
    </row>
    <row r="718">
      <c r="A718" s="25" t="n"/>
      <c r="B718" s="24" t="n"/>
      <c r="C718" s="26" t="n"/>
      <c r="D718" s="24" t="n"/>
      <c r="E718" s="30" t="n"/>
      <c r="F718" s="31">
        <f>IF(A718="","",A718-MOD(WEEKDAY(A718),7))</f>
        <v/>
      </c>
    </row>
    <row r="719">
      <c r="A719" s="25" t="n"/>
      <c r="B719" s="24" t="n"/>
      <c r="C719" s="26" t="n"/>
      <c r="D719" s="24" t="n"/>
      <c r="E719" s="30" t="n"/>
      <c r="F719" s="31">
        <f>IF(A719="","",A719-MOD(WEEKDAY(A719),7))</f>
        <v/>
      </c>
    </row>
    <row r="720">
      <c r="A720" s="25" t="n"/>
      <c r="B720" s="24" t="n"/>
      <c r="C720" s="26" t="n"/>
      <c r="D720" s="24" t="n"/>
      <c r="E720" s="30" t="n"/>
      <c r="F720" s="31">
        <f>IF(A720="","",A720-MOD(WEEKDAY(A720),7))</f>
        <v/>
      </c>
    </row>
    <row r="721">
      <c r="A721" s="25" t="n"/>
      <c r="B721" s="24" t="n"/>
      <c r="C721" s="26" t="n"/>
      <c r="D721" s="24" t="n"/>
      <c r="E721" s="30" t="n"/>
      <c r="F721" s="31">
        <f>IF(A721="","",A721-MOD(WEEKDAY(A721),7))</f>
        <v/>
      </c>
    </row>
    <row r="722">
      <c r="A722" s="25" t="n"/>
      <c r="B722" s="24" t="n"/>
      <c r="C722" s="26" t="n"/>
      <c r="D722" s="24" t="n"/>
      <c r="E722" s="30" t="n"/>
      <c r="F722" s="31">
        <f>IF(A722="","",A722-MOD(WEEKDAY(A722),7))</f>
        <v/>
      </c>
    </row>
    <row r="723">
      <c r="A723" s="25" t="n"/>
      <c r="B723" s="24" t="n"/>
      <c r="C723" s="26" t="n"/>
      <c r="D723" s="24" t="n"/>
      <c r="E723" s="30" t="n"/>
      <c r="F723" s="31">
        <f>IF(A723="","",A723-MOD(WEEKDAY(A723),7))</f>
        <v/>
      </c>
    </row>
    <row r="724">
      <c r="A724" s="25" t="n"/>
      <c r="B724" s="24" t="n"/>
      <c r="C724" s="26" t="n"/>
      <c r="D724" s="24" t="n"/>
      <c r="E724" s="30" t="n"/>
      <c r="F724" s="31">
        <f>IF(A724="","",A724-MOD(WEEKDAY(A724),7))</f>
        <v/>
      </c>
    </row>
    <row r="725">
      <c r="A725" s="25" t="n"/>
      <c r="B725" s="24" t="n"/>
      <c r="C725" s="26" t="n"/>
      <c r="D725" s="24" t="n"/>
      <c r="E725" s="30" t="n"/>
      <c r="F725" s="31">
        <f>IF(A725="","",A725-MOD(WEEKDAY(A725),7))</f>
        <v/>
      </c>
    </row>
    <row r="726">
      <c r="A726" s="25" t="n"/>
      <c r="B726" s="24" t="n"/>
      <c r="C726" s="26" t="n"/>
      <c r="D726" s="24" t="n"/>
      <c r="E726" s="30" t="n"/>
      <c r="F726" s="31">
        <f>IF(A726="","",A726-MOD(WEEKDAY(A726),7))</f>
        <v/>
      </c>
    </row>
    <row r="727">
      <c r="A727" s="25" t="n"/>
      <c r="B727" s="24" t="n"/>
      <c r="C727" s="26" t="n"/>
      <c r="D727" s="24" t="n"/>
      <c r="E727" s="30" t="n"/>
      <c r="F727" s="31">
        <f>IF(A727="","",A727-MOD(WEEKDAY(A727),7))</f>
        <v/>
      </c>
    </row>
    <row r="728">
      <c r="A728" s="25" t="n"/>
      <c r="B728" s="24" t="n"/>
      <c r="C728" s="26" t="n"/>
      <c r="D728" s="24" t="n"/>
      <c r="E728" s="30" t="n"/>
      <c r="F728" s="31">
        <f>IF(A728="","",A728-MOD(WEEKDAY(A728),7))</f>
        <v/>
      </c>
    </row>
    <row r="729">
      <c r="A729" s="25" t="n"/>
      <c r="B729" s="24" t="n"/>
      <c r="C729" s="26" t="n"/>
      <c r="D729" s="24" t="n"/>
      <c r="E729" s="30" t="n"/>
      <c r="F729" s="31">
        <f>IF(A729="","",A729-MOD(WEEKDAY(A729),7))</f>
        <v/>
      </c>
    </row>
    <row r="730">
      <c r="A730" s="25" t="n"/>
      <c r="B730" s="24" t="n"/>
      <c r="C730" s="26" t="n"/>
      <c r="D730" s="24" t="n"/>
      <c r="E730" s="30" t="n"/>
      <c r="F730" s="31">
        <f>IF(A730="","",A730-MOD(WEEKDAY(A730),7))</f>
        <v/>
      </c>
    </row>
    <row r="731">
      <c r="A731" s="25" t="n"/>
      <c r="B731" s="24" t="n"/>
      <c r="C731" s="26" t="n"/>
      <c r="D731" s="24" t="n"/>
      <c r="E731" s="30" t="n"/>
      <c r="F731" s="31">
        <f>IF(A731="","",A731-MOD(WEEKDAY(A731),7))</f>
        <v/>
      </c>
    </row>
    <row r="732">
      <c r="A732" s="25" t="n"/>
      <c r="B732" s="24" t="n"/>
      <c r="C732" s="26" t="n"/>
      <c r="D732" s="24" t="n"/>
      <c r="E732" s="30" t="n"/>
      <c r="F732" s="31">
        <f>IF(A732="","",A732-MOD(WEEKDAY(A732),7))</f>
        <v/>
      </c>
    </row>
    <row r="733">
      <c r="A733" s="25" t="n"/>
      <c r="B733" s="24" t="n"/>
      <c r="C733" s="26" t="n"/>
      <c r="D733" s="24" t="n"/>
      <c r="E733" s="30" t="n"/>
      <c r="F733" s="31">
        <f>IF(A733="","",A733-MOD(WEEKDAY(A733),7))</f>
        <v/>
      </c>
    </row>
    <row r="734">
      <c r="A734" s="25" t="n"/>
      <c r="B734" s="24" t="n"/>
      <c r="C734" s="26" t="n"/>
      <c r="D734" s="24" t="n"/>
      <c r="E734" s="30" t="n"/>
      <c r="F734" s="31">
        <f>IF(A734="","",A734-MOD(WEEKDAY(A734),7))</f>
        <v/>
      </c>
    </row>
    <row r="735">
      <c r="A735" s="25" t="n"/>
      <c r="B735" s="24" t="n"/>
      <c r="C735" s="26" t="n"/>
      <c r="D735" s="24" t="n"/>
      <c r="E735" s="30" t="n"/>
      <c r="F735" s="31">
        <f>IF(A735="","",A735-MOD(WEEKDAY(A735),7))</f>
        <v/>
      </c>
    </row>
    <row r="736">
      <c r="A736" s="25" t="n"/>
      <c r="B736" s="24" t="n"/>
      <c r="C736" s="26" t="n"/>
      <c r="D736" s="24" t="n"/>
      <c r="E736" s="30" t="n"/>
      <c r="F736" s="31">
        <f>IF(A736="","",A736-MOD(WEEKDAY(A736),7))</f>
        <v/>
      </c>
    </row>
    <row r="737">
      <c r="A737" s="25" t="n"/>
      <c r="B737" s="24" t="n"/>
      <c r="C737" s="26" t="n"/>
      <c r="D737" s="24" t="n"/>
      <c r="E737" s="30" t="n"/>
      <c r="F737" s="31">
        <f>IF(A737="","",A737-MOD(WEEKDAY(A737),7))</f>
        <v/>
      </c>
    </row>
    <row r="738">
      <c r="A738" s="25" t="n"/>
      <c r="B738" s="24" t="n"/>
      <c r="C738" s="26" t="n"/>
      <c r="D738" s="24" t="n"/>
      <c r="E738" s="30" t="n"/>
      <c r="F738" s="31">
        <f>IF(A738="","",A738-MOD(WEEKDAY(A738),7))</f>
        <v/>
      </c>
    </row>
    <row r="739">
      <c r="A739" s="25" t="n"/>
      <c r="B739" s="24" t="n"/>
      <c r="C739" s="26" t="n"/>
      <c r="D739" s="24" t="n"/>
      <c r="E739" s="30" t="n"/>
      <c r="F739" s="31">
        <f>IF(A739="","",A739-MOD(WEEKDAY(A739),7))</f>
        <v/>
      </c>
    </row>
    <row r="740">
      <c r="A740" s="25" t="n"/>
      <c r="B740" s="24" t="n"/>
      <c r="C740" s="26" t="n"/>
      <c r="D740" s="24" t="n"/>
      <c r="E740" s="30" t="n"/>
      <c r="F740" s="31">
        <f>IF(A740="","",A740-MOD(WEEKDAY(A740),7))</f>
        <v/>
      </c>
    </row>
    <row r="741">
      <c r="A741" s="25" t="n"/>
      <c r="B741" s="24" t="n"/>
      <c r="C741" s="26" t="n"/>
      <c r="D741" s="24" t="n"/>
      <c r="E741" s="30" t="n"/>
      <c r="F741" s="31">
        <f>IF(A741="","",A741-MOD(WEEKDAY(A741),7))</f>
        <v/>
      </c>
    </row>
    <row r="742">
      <c r="A742" s="25" t="n"/>
      <c r="B742" s="24" t="n"/>
      <c r="C742" s="26" t="n"/>
      <c r="D742" s="24" t="n"/>
      <c r="E742" s="30" t="n"/>
      <c r="F742" s="31">
        <f>IF(A742="","",A742-MOD(WEEKDAY(A742),7))</f>
        <v/>
      </c>
    </row>
    <row r="743">
      <c r="A743" s="25" t="n"/>
      <c r="B743" s="24" t="n"/>
      <c r="C743" s="26" t="n"/>
      <c r="D743" s="24" t="n"/>
      <c r="E743" s="30" t="n"/>
      <c r="F743" s="31">
        <f>IF(A743="","",A743-MOD(WEEKDAY(A743),7))</f>
        <v/>
      </c>
    </row>
    <row r="744">
      <c r="A744" s="25" t="n"/>
      <c r="B744" s="24" t="n"/>
      <c r="C744" s="26" t="n"/>
      <c r="D744" s="24" t="n"/>
      <c r="E744" s="30" t="n"/>
      <c r="F744" s="31">
        <f>IF(A744="","",A744-MOD(WEEKDAY(A744),7))</f>
        <v/>
      </c>
    </row>
    <row r="745">
      <c r="A745" s="25" t="n"/>
      <c r="B745" s="24" t="n"/>
      <c r="C745" s="26" t="n"/>
      <c r="D745" s="24" t="n"/>
      <c r="E745" s="30" t="n"/>
      <c r="F745" s="31">
        <f>IF(A745="","",A745-MOD(WEEKDAY(A745),7))</f>
        <v/>
      </c>
    </row>
    <row r="746">
      <c r="A746" s="25" t="n"/>
      <c r="B746" s="24" t="n"/>
      <c r="C746" s="26" t="n"/>
      <c r="D746" s="24" t="n"/>
      <c r="E746" s="30" t="n"/>
      <c r="F746" s="31">
        <f>IF(A746="","",A746-MOD(WEEKDAY(A746),7))</f>
        <v/>
      </c>
    </row>
    <row r="747">
      <c r="A747" s="25" t="n"/>
      <c r="B747" s="24" t="n"/>
      <c r="C747" s="26" t="n"/>
      <c r="D747" s="24" t="n"/>
      <c r="E747" s="30" t="n"/>
      <c r="F747" s="31">
        <f>IF(A747="","",A747-MOD(WEEKDAY(A747),7))</f>
        <v/>
      </c>
    </row>
    <row r="748">
      <c r="A748" s="25" t="n"/>
      <c r="B748" s="24" t="n"/>
      <c r="C748" s="26" t="n"/>
      <c r="D748" s="24" t="n"/>
      <c r="E748" s="30" t="n"/>
      <c r="F748" s="31">
        <f>IF(A748="","",A748-MOD(WEEKDAY(A748),7))</f>
        <v/>
      </c>
    </row>
    <row r="749">
      <c r="A749" s="25" t="n"/>
      <c r="B749" s="24" t="n"/>
      <c r="C749" s="26" t="n"/>
      <c r="D749" s="24" t="n"/>
      <c r="E749" s="30" t="n"/>
      <c r="F749" s="31">
        <f>IF(A749="","",A749-MOD(WEEKDAY(A749),7))</f>
        <v/>
      </c>
    </row>
    <row r="750">
      <c r="A750" s="25" t="n"/>
      <c r="B750" s="24" t="n"/>
      <c r="C750" s="26" t="n"/>
      <c r="D750" s="24" t="n"/>
      <c r="E750" s="30" t="n"/>
      <c r="F750" s="31">
        <f>IF(A750="","",A750-MOD(WEEKDAY(A750),7))</f>
        <v/>
      </c>
    </row>
    <row r="751">
      <c r="A751" s="25" t="n"/>
      <c r="B751" s="24" t="n"/>
      <c r="C751" s="26" t="n"/>
      <c r="D751" s="24" t="n"/>
      <c r="E751" s="30" t="n"/>
      <c r="F751" s="31">
        <f>IF(A751="","",A751-MOD(WEEKDAY(A751),7))</f>
        <v/>
      </c>
    </row>
    <row r="752">
      <c r="A752" s="25" t="n"/>
      <c r="B752" s="24" t="n"/>
      <c r="C752" s="26" t="n"/>
      <c r="D752" s="24" t="n"/>
      <c r="E752" s="30" t="n"/>
      <c r="F752" s="31">
        <f>IF(A752="","",A752-MOD(WEEKDAY(A752),7))</f>
        <v/>
      </c>
    </row>
    <row r="753">
      <c r="A753" s="25" t="n"/>
      <c r="B753" s="24" t="n"/>
      <c r="C753" s="26" t="n"/>
      <c r="D753" s="24" t="n"/>
      <c r="E753" s="30" t="n"/>
      <c r="F753" s="31">
        <f>IF(A753="","",A753-MOD(WEEKDAY(A753),7))</f>
        <v/>
      </c>
    </row>
    <row r="754">
      <c r="A754" s="25" t="n"/>
      <c r="B754" s="24" t="n"/>
      <c r="C754" s="26" t="n"/>
      <c r="D754" s="24" t="n"/>
      <c r="E754" s="30" t="n"/>
      <c r="F754" s="31">
        <f>IF(A754="","",A754-MOD(WEEKDAY(A754),7))</f>
        <v/>
      </c>
    </row>
    <row r="755">
      <c r="A755" s="25" t="n"/>
      <c r="B755" s="24" t="n"/>
      <c r="C755" s="26" t="n"/>
      <c r="D755" s="24" t="n"/>
      <c r="E755" s="30" t="n"/>
      <c r="F755" s="31">
        <f>IF(A755="","",A755-MOD(WEEKDAY(A755),7))</f>
        <v/>
      </c>
    </row>
    <row r="756">
      <c r="A756" s="25" t="n"/>
      <c r="B756" s="24" t="n"/>
      <c r="C756" s="26" t="n"/>
      <c r="D756" s="24" t="n"/>
      <c r="E756" s="30" t="n"/>
      <c r="F756" s="31">
        <f>IF(A756="","",A756-MOD(WEEKDAY(A756),7))</f>
        <v/>
      </c>
    </row>
    <row r="757">
      <c r="A757" s="25" t="n"/>
      <c r="B757" s="24" t="n"/>
      <c r="C757" s="26" t="n"/>
      <c r="D757" s="24" t="n"/>
      <c r="E757" s="30" t="n"/>
      <c r="F757" s="31">
        <f>IF(A757="","",A757-MOD(WEEKDAY(A757),7))</f>
        <v/>
      </c>
    </row>
    <row r="758">
      <c r="A758" s="25" t="n"/>
      <c r="B758" s="24" t="n"/>
      <c r="C758" s="26" t="n"/>
      <c r="D758" s="24" t="n"/>
      <c r="E758" s="30" t="n"/>
      <c r="F758" s="31">
        <f>IF(A758="","",A758-MOD(WEEKDAY(A758),7))</f>
        <v/>
      </c>
    </row>
    <row r="759">
      <c r="A759" s="25" t="n"/>
      <c r="B759" s="24" t="n"/>
      <c r="C759" s="26" t="n"/>
      <c r="D759" s="24" t="n"/>
      <c r="E759" s="30" t="n"/>
      <c r="F759" s="31">
        <f>IF(A759="","",A759-MOD(WEEKDAY(A759),7))</f>
        <v/>
      </c>
    </row>
    <row r="760">
      <c r="A760" s="25" t="n"/>
      <c r="B760" s="24" t="n"/>
      <c r="C760" s="26" t="n"/>
      <c r="D760" s="24" t="n"/>
      <c r="E760" s="30" t="n"/>
      <c r="F760" s="31">
        <f>IF(A760="","",A760-MOD(WEEKDAY(A760),7))</f>
        <v/>
      </c>
    </row>
    <row r="761">
      <c r="A761" s="25" t="n"/>
      <c r="B761" s="24" t="n"/>
      <c r="C761" s="26" t="n"/>
      <c r="D761" s="24" t="n"/>
      <c r="E761" s="30" t="n"/>
      <c r="F761" s="31">
        <f>IF(A761="","",A761-MOD(WEEKDAY(A761),7))</f>
        <v/>
      </c>
    </row>
    <row r="762">
      <c r="A762" s="25" t="n"/>
      <c r="B762" s="24" t="n"/>
      <c r="C762" s="26" t="n"/>
      <c r="D762" s="24" t="n"/>
      <c r="E762" s="30" t="n"/>
      <c r="F762" s="31">
        <f>IF(A762="","",A762-MOD(WEEKDAY(A762),7))</f>
        <v/>
      </c>
    </row>
    <row r="763">
      <c r="A763" s="25" t="n"/>
      <c r="B763" s="24" t="n"/>
      <c r="C763" s="26" t="n"/>
      <c r="D763" s="24" t="n"/>
      <c r="E763" s="30" t="n"/>
      <c r="F763" s="31">
        <f>IF(A763="","",A763-MOD(WEEKDAY(A763),7))</f>
        <v/>
      </c>
    </row>
    <row r="764">
      <c r="A764" s="25" t="n"/>
      <c r="B764" s="24" t="n"/>
      <c r="C764" s="26" t="n"/>
      <c r="D764" s="24" t="n"/>
      <c r="E764" s="30" t="n"/>
      <c r="F764" s="31">
        <f>IF(A764="","",A764-MOD(WEEKDAY(A764),7))</f>
        <v/>
      </c>
    </row>
    <row r="765">
      <c r="A765" s="25" t="n"/>
      <c r="B765" s="24" t="n"/>
      <c r="C765" s="26" t="n"/>
      <c r="D765" s="24" t="n"/>
      <c r="E765" s="30" t="n"/>
      <c r="F765" s="31">
        <f>IF(A765="","",A765-MOD(WEEKDAY(A765),7))</f>
        <v/>
      </c>
    </row>
    <row r="766">
      <c r="A766" s="25" t="n"/>
      <c r="B766" s="24" t="n"/>
      <c r="C766" s="26" t="n"/>
      <c r="D766" s="24" t="n"/>
      <c r="E766" s="30" t="n"/>
      <c r="F766" s="31">
        <f>IF(A766="","",A766-MOD(WEEKDAY(A766),7))</f>
        <v/>
      </c>
    </row>
    <row r="767">
      <c r="A767" s="25" t="n"/>
      <c r="B767" s="24" t="n"/>
      <c r="C767" s="26" t="n"/>
      <c r="D767" s="24" t="n"/>
      <c r="E767" s="30" t="n"/>
      <c r="F767" s="31">
        <f>IF(A767="","",A767-MOD(WEEKDAY(A767),7))</f>
        <v/>
      </c>
    </row>
    <row r="768">
      <c r="A768" s="25" t="n"/>
      <c r="B768" s="24" t="n"/>
      <c r="C768" s="26" t="n"/>
      <c r="D768" s="24" t="n"/>
      <c r="E768" s="30" t="n"/>
      <c r="F768" s="31">
        <f>IF(A768="","",A768-MOD(WEEKDAY(A768),7))</f>
        <v/>
      </c>
    </row>
    <row r="769">
      <c r="A769" s="25" t="n"/>
      <c r="B769" s="24" t="n"/>
      <c r="C769" s="26" t="n"/>
      <c r="D769" s="24" t="n"/>
      <c r="E769" s="30" t="n"/>
      <c r="F769" s="31">
        <f>IF(A769="","",A769-MOD(WEEKDAY(A769),7))</f>
        <v/>
      </c>
    </row>
    <row r="770">
      <c r="A770" s="25" t="n"/>
      <c r="B770" s="24" t="n"/>
      <c r="C770" s="26" t="n"/>
      <c r="D770" s="24" t="n"/>
      <c r="E770" s="30" t="n"/>
      <c r="F770" s="31">
        <f>IF(A770="","",A770-MOD(WEEKDAY(A770),7))</f>
        <v/>
      </c>
    </row>
    <row r="771">
      <c r="A771" s="25" t="n"/>
      <c r="B771" s="24" t="n"/>
      <c r="C771" s="26" t="n"/>
      <c r="D771" s="24" t="n"/>
      <c r="E771" s="30" t="n"/>
      <c r="F771" s="31">
        <f>IF(A771="","",A771-MOD(WEEKDAY(A771),7))</f>
        <v/>
      </c>
    </row>
    <row r="772">
      <c r="A772" s="25" t="n"/>
      <c r="B772" s="24" t="n"/>
      <c r="C772" s="26" t="n"/>
      <c r="D772" s="24" t="n"/>
      <c r="E772" s="30" t="n"/>
      <c r="F772" s="31">
        <f>IF(A772="","",A772-MOD(WEEKDAY(A772),7))</f>
        <v/>
      </c>
    </row>
    <row r="773">
      <c r="A773" s="25" t="n"/>
      <c r="B773" s="24" t="n"/>
      <c r="C773" s="26" t="n"/>
      <c r="D773" s="24" t="n"/>
      <c r="E773" s="30" t="n"/>
      <c r="F773" s="31">
        <f>IF(A773="","",A773-MOD(WEEKDAY(A773),7))</f>
        <v/>
      </c>
    </row>
    <row r="774">
      <c r="A774" s="25" t="n"/>
      <c r="B774" s="24" t="n"/>
      <c r="C774" s="26" t="n"/>
      <c r="D774" s="24" t="n"/>
      <c r="E774" s="30" t="n"/>
      <c r="F774" s="31">
        <f>IF(A774="","",A774-MOD(WEEKDAY(A774),7))</f>
        <v/>
      </c>
    </row>
    <row r="775">
      <c r="A775" s="25" t="n"/>
      <c r="B775" s="24" t="n"/>
      <c r="C775" s="26" t="n"/>
      <c r="D775" s="24" t="n"/>
      <c r="E775" s="30" t="n"/>
      <c r="F775" s="31">
        <f>IF(A775="","",A775-MOD(WEEKDAY(A775),7))</f>
        <v/>
      </c>
    </row>
    <row r="776">
      <c r="A776" s="25" t="n"/>
      <c r="B776" s="24" t="n"/>
      <c r="C776" s="26" t="n"/>
      <c r="D776" s="24" t="n"/>
      <c r="E776" s="30" t="n"/>
      <c r="F776" s="31">
        <f>IF(A776="","",A776-MOD(WEEKDAY(A776),7))</f>
        <v/>
      </c>
    </row>
    <row r="777">
      <c r="A777" s="25" t="n"/>
      <c r="B777" s="24" t="n"/>
      <c r="C777" s="26" t="n"/>
      <c r="D777" s="24" t="n"/>
      <c r="E777" s="30" t="n"/>
      <c r="F777" s="31">
        <f>IF(A777="","",A777-MOD(WEEKDAY(A777),7))</f>
        <v/>
      </c>
    </row>
    <row r="778">
      <c r="A778" s="25" t="n"/>
      <c r="B778" s="24" t="n"/>
      <c r="C778" s="26" t="n"/>
      <c r="D778" s="24" t="n"/>
      <c r="E778" s="30" t="n"/>
      <c r="F778" s="31">
        <f>IF(A778="","",A778-MOD(WEEKDAY(A778),7))</f>
        <v/>
      </c>
    </row>
    <row r="779">
      <c r="A779" s="25" t="n"/>
      <c r="B779" s="24" t="n"/>
      <c r="C779" s="26" t="n"/>
      <c r="D779" s="24" t="n"/>
      <c r="E779" s="30" t="n"/>
      <c r="F779" s="31">
        <f>IF(A779="","",A779-MOD(WEEKDAY(A779),7))</f>
        <v/>
      </c>
    </row>
    <row r="780">
      <c r="A780" s="25" t="n"/>
      <c r="B780" s="24" t="n"/>
      <c r="C780" s="26" t="n"/>
      <c r="D780" s="24" t="n"/>
      <c r="E780" s="30" t="n"/>
      <c r="F780" s="31">
        <f>IF(A780="","",A780-MOD(WEEKDAY(A780),7))</f>
        <v/>
      </c>
    </row>
    <row r="781">
      <c r="A781" s="25" t="n"/>
      <c r="B781" s="24" t="n"/>
      <c r="C781" s="26" t="n"/>
      <c r="D781" s="24" t="n"/>
      <c r="E781" s="30" t="n"/>
      <c r="F781" s="31">
        <f>IF(A781="","",A781-MOD(WEEKDAY(A781),7))</f>
        <v/>
      </c>
    </row>
    <row r="782">
      <c r="A782" s="25" t="n"/>
      <c r="B782" s="24" t="n"/>
      <c r="C782" s="26" t="n"/>
      <c r="D782" s="24" t="n"/>
      <c r="E782" s="30" t="n"/>
      <c r="F782" s="31">
        <f>IF(A782="","",A782-MOD(WEEKDAY(A782),7))</f>
        <v/>
      </c>
    </row>
    <row r="783">
      <c r="A783" s="25" t="n"/>
      <c r="B783" s="24" t="n"/>
      <c r="C783" s="26" t="n"/>
      <c r="D783" s="24" t="n"/>
      <c r="E783" s="30" t="n"/>
      <c r="F783" s="31">
        <f>IF(A783="","",A783-MOD(WEEKDAY(A783),7))</f>
        <v/>
      </c>
    </row>
    <row r="784">
      <c r="A784" s="25" t="n"/>
      <c r="B784" s="24" t="n"/>
      <c r="C784" s="26" t="n"/>
      <c r="D784" s="24" t="n"/>
      <c r="E784" s="30" t="n"/>
      <c r="F784" s="31">
        <f>IF(A784="","",A784-MOD(WEEKDAY(A784),7))</f>
        <v/>
      </c>
    </row>
    <row r="785">
      <c r="A785" s="25" t="n"/>
      <c r="B785" s="24" t="n"/>
      <c r="C785" s="26" t="n"/>
      <c r="D785" s="24" t="n"/>
      <c r="E785" s="30" t="n"/>
      <c r="F785" s="31">
        <f>IF(A785="","",A785-MOD(WEEKDAY(A785),7))</f>
        <v/>
      </c>
    </row>
    <row r="786">
      <c r="A786" s="25" t="n"/>
      <c r="B786" s="24" t="n"/>
      <c r="C786" s="26" t="n"/>
      <c r="D786" s="24" t="n"/>
      <c r="E786" s="30" t="n"/>
      <c r="F786" s="31">
        <f>IF(A786="","",A786-MOD(WEEKDAY(A786),7))</f>
        <v/>
      </c>
    </row>
    <row r="787">
      <c r="A787" s="25" t="n"/>
      <c r="B787" s="24" t="n"/>
      <c r="C787" s="26" t="n"/>
      <c r="D787" s="24" t="n"/>
      <c r="E787" s="30" t="n"/>
      <c r="F787" s="31">
        <f>IF(A787="","",A787-MOD(WEEKDAY(A787),7))</f>
        <v/>
      </c>
    </row>
    <row r="788">
      <c r="A788" s="25" t="n"/>
      <c r="B788" s="24" t="n"/>
      <c r="C788" s="26" t="n"/>
      <c r="D788" s="24" t="n"/>
      <c r="E788" s="30" t="n"/>
      <c r="F788" s="31">
        <f>IF(A788="","",A788-MOD(WEEKDAY(A788),7))</f>
        <v/>
      </c>
    </row>
    <row r="789">
      <c r="A789" s="25" t="n"/>
      <c r="B789" s="24" t="n"/>
      <c r="C789" s="26" t="n"/>
      <c r="D789" s="24" t="n"/>
      <c r="E789" s="30" t="n"/>
      <c r="F789" s="31">
        <f>IF(A789="","",A789-MOD(WEEKDAY(A789),7))</f>
        <v/>
      </c>
    </row>
    <row r="790">
      <c r="A790" s="25" t="n"/>
      <c r="B790" s="24" t="n"/>
      <c r="C790" s="26" t="n"/>
      <c r="D790" s="24" t="n"/>
      <c r="E790" s="30" t="n"/>
      <c r="F790" s="31">
        <f>IF(A790="","",A790-MOD(WEEKDAY(A790),7))</f>
        <v/>
      </c>
    </row>
    <row r="791">
      <c r="A791" s="25" t="n"/>
      <c r="B791" s="24" t="n"/>
      <c r="C791" s="26" t="n"/>
      <c r="D791" s="24" t="n"/>
      <c r="E791" s="30" t="n"/>
      <c r="F791" s="31">
        <f>IF(A791="","",A791-MOD(WEEKDAY(A791),7))</f>
        <v/>
      </c>
    </row>
    <row r="792">
      <c r="A792" s="25" t="n"/>
      <c r="B792" s="24" t="n"/>
      <c r="C792" s="26" t="n"/>
      <c r="D792" s="24" t="n"/>
      <c r="E792" s="30" t="n"/>
      <c r="F792" s="31">
        <f>IF(A792="","",A792-MOD(WEEKDAY(A792),7))</f>
        <v/>
      </c>
    </row>
    <row r="793">
      <c r="A793" s="25" t="n"/>
      <c r="B793" s="24" t="n"/>
      <c r="C793" s="26" t="n"/>
      <c r="D793" s="24" t="n"/>
      <c r="E793" s="30" t="n"/>
      <c r="F793" s="31">
        <f>IF(A793="","",A793-MOD(WEEKDAY(A793),7))</f>
        <v/>
      </c>
    </row>
    <row r="794">
      <c r="A794" s="25" t="n"/>
      <c r="B794" s="24" t="n"/>
      <c r="C794" s="26" t="n"/>
      <c r="D794" s="24" t="n"/>
      <c r="E794" s="30" t="n"/>
      <c r="F794" s="31">
        <f>IF(A794="","",A794-MOD(WEEKDAY(A794),7))</f>
        <v/>
      </c>
    </row>
    <row r="795">
      <c r="A795" s="25" t="n"/>
      <c r="B795" s="24" t="n"/>
      <c r="C795" s="26" t="n"/>
      <c r="D795" s="24" t="n"/>
      <c r="E795" s="30" t="n"/>
      <c r="F795" s="31">
        <f>IF(A795="","",A795-MOD(WEEKDAY(A795),7))</f>
        <v/>
      </c>
    </row>
    <row r="796">
      <c r="A796" s="25" t="n"/>
      <c r="B796" s="24" t="n"/>
      <c r="C796" s="26" t="n"/>
      <c r="D796" s="24" t="n"/>
      <c r="E796" s="30" t="n"/>
      <c r="F796" s="31">
        <f>IF(A796="","",A796-MOD(WEEKDAY(A796),7))</f>
        <v/>
      </c>
    </row>
    <row r="797">
      <c r="A797" s="25" t="n"/>
      <c r="B797" s="24" t="n"/>
      <c r="C797" s="26" t="n"/>
      <c r="D797" s="24" t="n"/>
      <c r="E797" s="30" t="n"/>
      <c r="F797" s="31">
        <f>IF(A797="","",A797-MOD(WEEKDAY(A797),7))</f>
        <v/>
      </c>
    </row>
    <row r="798">
      <c r="A798" s="25" t="n"/>
      <c r="B798" s="24" t="n"/>
      <c r="C798" s="26" t="n"/>
      <c r="D798" s="24" t="n"/>
      <c r="E798" s="30" t="n"/>
      <c r="F798" s="31">
        <f>IF(A798="","",A798-MOD(WEEKDAY(A798),7))</f>
        <v/>
      </c>
    </row>
    <row r="799">
      <c r="A799" s="25" t="n"/>
      <c r="B799" s="24" t="n"/>
      <c r="C799" s="26" t="n"/>
      <c r="D799" s="24" t="n"/>
      <c r="E799" s="30" t="n"/>
      <c r="F799" s="31">
        <f>IF(A799="","",A799-MOD(WEEKDAY(A799),7))</f>
        <v/>
      </c>
    </row>
    <row r="800">
      <c r="A800" s="25" t="n"/>
      <c r="B800" s="24" t="n"/>
      <c r="C800" s="26" t="n"/>
      <c r="D800" s="24" t="n"/>
      <c r="E800" s="30" t="n"/>
      <c r="F800" s="31">
        <f>IF(A800="","",A800-MOD(WEEKDAY(A800),7))</f>
        <v/>
      </c>
    </row>
    <row r="801">
      <c r="A801" s="25" t="n"/>
      <c r="B801" s="24" t="n"/>
      <c r="C801" s="26" t="n"/>
      <c r="D801" s="24" t="n"/>
      <c r="E801" s="30" t="n"/>
      <c r="F801" s="31">
        <f>IF(A801="","",A801-MOD(WEEKDAY(A801),7))</f>
        <v/>
      </c>
    </row>
    <row r="802">
      <c r="A802" s="25" t="n"/>
      <c r="B802" s="24" t="n"/>
      <c r="C802" s="26" t="n"/>
      <c r="D802" s="24" t="n"/>
      <c r="E802" s="30" t="n"/>
      <c r="F802" s="31">
        <f>IF(A802="","",A802-MOD(WEEKDAY(A802),7))</f>
        <v/>
      </c>
    </row>
    <row r="803">
      <c r="A803" s="25" t="n"/>
      <c r="B803" s="24" t="n"/>
      <c r="C803" s="26" t="n"/>
      <c r="D803" s="24" t="n"/>
      <c r="E803" s="30" t="n"/>
      <c r="F803" s="31">
        <f>IF(A803="","",A803-MOD(WEEKDAY(A803),7))</f>
        <v/>
      </c>
    </row>
    <row r="804">
      <c r="A804" s="25" t="n"/>
      <c r="B804" s="24" t="n"/>
      <c r="C804" s="26" t="n"/>
      <c r="D804" s="24" t="n"/>
      <c r="E804" s="30" t="n"/>
      <c r="F804" s="31">
        <f>IF(A804="","",A804-MOD(WEEKDAY(A804),7))</f>
        <v/>
      </c>
    </row>
    <row r="805">
      <c r="A805" s="25" t="n"/>
      <c r="B805" s="24" t="n"/>
      <c r="C805" s="26" t="n"/>
      <c r="D805" s="24" t="n"/>
      <c r="E805" s="30" t="n"/>
      <c r="F805" s="31">
        <f>IF(A805="","",A805-MOD(WEEKDAY(A805),7))</f>
        <v/>
      </c>
    </row>
    <row r="806">
      <c r="A806" s="25" t="n"/>
      <c r="B806" s="24" t="n"/>
      <c r="C806" s="26" t="n"/>
      <c r="D806" s="24" t="n"/>
      <c r="E806" s="30" t="n"/>
      <c r="F806" s="31">
        <f>IF(A806="","",A806-MOD(WEEKDAY(A806),7))</f>
        <v/>
      </c>
    </row>
    <row r="807">
      <c r="A807" s="25" t="n"/>
      <c r="B807" s="24" t="n"/>
      <c r="C807" s="26" t="n"/>
      <c r="D807" s="24" t="n"/>
      <c r="E807" s="30" t="n"/>
      <c r="F807" s="31">
        <f>IF(A807="","",A807-MOD(WEEKDAY(A807),7))</f>
        <v/>
      </c>
    </row>
    <row r="808">
      <c r="A808" s="25" t="n"/>
      <c r="B808" s="24" t="n"/>
      <c r="C808" s="26" t="n"/>
      <c r="D808" s="24" t="n"/>
      <c r="E808" s="30" t="n"/>
      <c r="F808" s="31">
        <f>IF(A808="","",A808-MOD(WEEKDAY(A808),7))</f>
        <v/>
      </c>
    </row>
    <row r="809">
      <c r="A809" s="25" t="n"/>
      <c r="B809" s="24" t="n"/>
      <c r="C809" s="26" t="n"/>
      <c r="D809" s="24" t="n"/>
      <c r="E809" s="30" t="n"/>
      <c r="F809" s="31">
        <f>IF(A809="","",A809-MOD(WEEKDAY(A809),7))</f>
        <v/>
      </c>
    </row>
    <row r="810">
      <c r="A810" s="25" t="n"/>
      <c r="B810" s="24" t="n"/>
      <c r="C810" s="26" t="n"/>
      <c r="D810" s="24" t="n"/>
      <c r="E810" s="30" t="n"/>
      <c r="F810" s="31">
        <f>IF(A810="","",A810-MOD(WEEKDAY(A810),7))</f>
        <v/>
      </c>
    </row>
    <row r="811">
      <c r="A811" s="25" t="n"/>
      <c r="B811" s="24" t="n"/>
      <c r="C811" s="26" t="n"/>
      <c r="D811" s="24" t="n"/>
      <c r="E811" s="30" t="n"/>
      <c r="F811" s="31">
        <f>IF(A811="","",A811-MOD(WEEKDAY(A811),7))</f>
        <v/>
      </c>
    </row>
    <row r="812">
      <c r="A812" s="25" t="n"/>
      <c r="B812" s="24" t="n"/>
      <c r="C812" s="26" t="n"/>
      <c r="D812" s="24" t="n"/>
      <c r="E812" s="30" t="n"/>
      <c r="F812" s="31">
        <f>IF(A812="","",A812-MOD(WEEKDAY(A812),7))</f>
        <v/>
      </c>
    </row>
    <row r="813">
      <c r="A813" s="25" t="n"/>
      <c r="B813" s="24" t="n"/>
      <c r="C813" s="26" t="n"/>
      <c r="D813" s="24" t="n"/>
      <c r="E813" s="30" t="n"/>
      <c r="F813" s="31">
        <f>IF(A813="","",A813-MOD(WEEKDAY(A813),7))</f>
        <v/>
      </c>
    </row>
    <row r="814">
      <c r="A814" s="25" t="n"/>
      <c r="B814" s="24" t="n"/>
      <c r="C814" s="26" t="n"/>
      <c r="D814" s="24" t="n"/>
      <c r="E814" s="30" t="n"/>
      <c r="F814" s="31">
        <f>IF(A814="","",A814-MOD(WEEKDAY(A814),7))</f>
        <v/>
      </c>
    </row>
    <row r="815">
      <c r="A815" s="25" t="n"/>
      <c r="B815" s="24" t="n"/>
      <c r="C815" s="26" t="n"/>
      <c r="D815" s="24" t="n"/>
      <c r="E815" s="30" t="n"/>
      <c r="F815" s="31">
        <f>IF(A815="","",A815-MOD(WEEKDAY(A815),7))</f>
        <v/>
      </c>
    </row>
    <row r="816">
      <c r="A816" s="25" t="n"/>
      <c r="B816" s="24" t="n"/>
      <c r="C816" s="26" t="n"/>
      <c r="D816" s="24" t="n"/>
      <c r="E816" s="30" t="n"/>
      <c r="F816" s="31">
        <f>IF(A816="","",A816-MOD(WEEKDAY(A816),7))</f>
        <v/>
      </c>
    </row>
    <row r="817">
      <c r="A817" s="25" t="n"/>
      <c r="B817" s="24" t="n"/>
      <c r="C817" s="26" t="n"/>
      <c r="D817" s="24" t="n"/>
      <c r="E817" s="30" t="n"/>
      <c r="F817" s="31">
        <f>IF(A817="","",A817-MOD(WEEKDAY(A817),7))</f>
        <v/>
      </c>
    </row>
    <row r="818">
      <c r="A818" s="25" t="n"/>
      <c r="B818" s="24" t="n"/>
      <c r="C818" s="26" t="n"/>
      <c r="D818" s="24" t="n"/>
      <c r="E818" s="30" t="n"/>
      <c r="F818" s="31">
        <f>IF(A818="","",A818-MOD(WEEKDAY(A818),7))</f>
        <v/>
      </c>
    </row>
    <row r="819">
      <c r="A819" s="25" t="n"/>
      <c r="B819" s="24" t="n"/>
      <c r="C819" s="26" t="n"/>
      <c r="D819" s="24" t="n"/>
      <c r="E819" s="30" t="n"/>
      <c r="F819" s="31">
        <f>IF(A819="","",A819-MOD(WEEKDAY(A819),7))</f>
        <v/>
      </c>
    </row>
    <row r="820">
      <c r="A820" s="25" t="n"/>
      <c r="B820" s="24" t="n"/>
      <c r="C820" s="26" t="n"/>
      <c r="D820" s="24" t="n"/>
      <c r="E820" s="30" t="n"/>
      <c r="F820" s="31">
        <f>IF(A820="","",A820-MOD(WEEKDAY(A820),7))</f>
        <v/>
      </c>
    </row>
    <row r="821">
      <c r="A821" s="25" t="n"/>
      <c r="B821" s="24" t="n"/>
      <c r="C821" s="26" t="n"/>
      <c r="D821" s="24" t="n"/>
      <c r="E821" s="30" t="n"/>
      <c r="F821" s="31">
        <f>IF(A821="","",A821-MOD(WEEKDAY(A821),7))</f>
        <v/>
      </c>
    </row>
    <row r="822">
      <c r="A822" s="25" t="n"/>
      <c r="B822" s="24" t="n"/>
      <c r="C822" s="26" t="n"/>
      <c r="D822" s="24" t="n"/>
      <c r="E822" s="30" t="n"/>
      <c r="F822" s="31">
        <f>IF(A822="","",A822-MOD(WEEKDAY(A822),7))</f>
        <v/>
      </c>
    </row>
    <row r="823">
      <c r="A823" s="25" t="n"/>
      <c r="B823" s="24" t="n"/>
      <c r="C823" s="26" t="n"/>
      <c r="D823" s="24" t="n"/>
      <c r="E823" s="30" t="n"/>
      <c r="F823" s="31">
        <f>IF(A823="","",A823-MOD(WEEKDAY(A823),7))</f>
        <v/>
      </c>
    </row>
    <row r="824">
      <c r="A824" s="25" t="n"/>
      <c r="B824" s="24" t="n"/>
      <c r="C824" s="26" t="n"/>
      <c r="D824" s="24" t="n"/>
      <c r="E824" s="30" t="n"/>
      <c r="F824" s="31">
        <f>IF(A824="","",A824-MOD(WEEKDAY(A824),7))</f>
        <v/>
      </c>
    </row>
    <row r="825">
      <c r="A825" s="25" t="n"/>
      <c r="B825" s="24" t="n"/>
      <c r="C825" s="26" t="n"/>
      <c r="D825" s="24" t="n"/>
      <c r="E825" s="30" t="n"/>
      <c r="F825" s="31">
        <f>IF(A825="","",A825-MOD(WEEKDAY(A825),7))</f>
        <v/>
      </c>
    </row>
    <row r="826">
      <c r="A826" s="25" t="n"/>
      <c r="B826" s="24" t="n"/>
      <c r="C826" s="26" t="n"/>
      <c r="D826" s="24" t="n"/>
      <c r="E826" s="30" t="n"/>
      <c r="F826" s="31">
        <f>IF(A826="","",A826-MOD(WEEKDAY(A826),7))</f>
        <v/>
      </c>
    </row>
    <row r="827">
      <c r="A827" s="25" t="n"/>
      <c r="B827" s="24" t="n"/>
      <c r="C827" s="26" t="n"/>
      <c r="D827" s="24" t="n"/>
      <c r="E827" s="30" t="n"/>
      <c r="F827" s="31">
        <f>IF(A827="","",A827-MOD(WEEKDAY(A827),7))</f>
        <v/>
      </c>
    </row>
    <row r="828">
      <c r="A828" s="25" t="n"/>
      <c r="B828" s="24" t="n"/>
      <c r="C828" s="26" t="n"/>
      <c r="D828" s="24" t="n"/>
      <c r="E828" s="30" t="n"/>
      <c r="F828" s="31">
        <f>IF(A828="","",A828-MOD(WEEKDAY(A828),7))</f>
        <v/>
      </c>
    </row>
    <row r="829">
      <c r="A829" s="25" t="n"/>
      <c r="B829" s="24" t="n"/>
      <c r="C829" s="26" t="n"/>
      <c r="D829" s="24" t="n"/>
      <c r="E829" s="30" t="n"/>
      <c r="F829" s="31">
        <f>IF(A829="","",A829-MOD(WEEKDAY(A829),7))</f>
        <v/>
      </c>
    </row>
    <row r="830">
      <c r="A830" s="25" t="n"/>
      <c r="B830" s="24" t="n"/>
      <c r="C830" s="26" t="n"/>
      <c r="D830" s="24" t="n"/>
      <c r="E830" s="30" t="n"/>
      <c r="F830" s="31">
        <f>IF(A830="","",A830-MOD(WEEKDAY(A830),7))</f>
        <v/>
      </c>
    </row>
    <row r="831">
      <c r="A831" s="25" t="n"/>
      <c r="B831" s="24" t="n"/>
      <c r="C831" s="26" t="n"/>
      <c r="D831" s="24" t="n"/>
      <c r="E831" s="30" t="n"/>
      <c r="F831" s="31">
        <f>IF(A831="","",A831-MOD(WEEKDAY(A831),7))</f>
        <v/>
      </c>
    </row>
    <row r="832">
      <c r="A832" s="25" t="n"/>
      <c r="B832" s="24" t="n"/>
      <c r="C832" s="26" t="n"/>
      <c r="D832" s="24" t="n"/>
      <c r="E832" s="30" t="n"/>
      <c r="F832" s="31">
        <f>IF(A832="","",A832-MOD(WEEKDAY(A832),7))</f>
        <v/>
      </c>
    </row>
    <row r="833">
      <c r="A833" s="25" t="n"/>
      <c r="B833" s="24" t="n"/>
      <c r="C833" s="26" t="n"/>
      <c r="D833" s="24" t="n"/>
      <c r="E833" s="30" t="n"/>
      <c r="F833" s="31">
        <f>IF(A833="","",A833-MOD(WEEKDAY(A833),7))</f>
        <v/>
      </c>
    </row>
    <row r="834">
      <c r="A834" s="25" t="n"/>
      <c r="B834" s="24" t="n"/>
      <c r="C834" s="26" t="n"/>
      <c r="D834" s="24" t="n"/>
      <c r="E834" s="30" t="n"/>
      <c r="F834" s="31">
        <f>IF(A834="","",A834-MOD(WEEKDAY(A834),7))</f>
        <v/>
      </c>
    </row>
    <row r="835">
      <c r="A835" s="25" t="n"/>
      <c r="B835" s="24" t="n"/>
      <c r="C835" s="26" t="n"/>
      <c r="D835" s="24" t="n"/>
      <c r="E835" s="30" t="n"/>
      <c r="F835" s="31">
        <f>IF(A835="","",A835-MOD(WEEKDAY(A835),7))</f>
        <v/>
      </c>
    </row>
    <row r="836">
      <c r="A836" s="25" t="n"/>
      <c r="B836" s="24" t="n"/>
      <c r="C836" s="26" t="n"/>
      <c r="D836" s="24" t="n"/>
      <c r="E836" s="30" t="n"/>
      <c r="F836" s="31">
        <f>IF(A836="","",A836-MOD(WEEKDAY(A836),7))</f>
        <v/>
      </c>
    </row>
    <row r="837">
      <c r="A837" s="25" t="n"/>
      <c r="B837" s="24" t="n"/>
      <c r="C837" s="26" t="n"/>
      <c r="D837" s="24" t="n"/>
      <c r="E837" s="30" t="n"/>
      <c r="F837" s="31">
        <f>IF(A837="","",A837-MOD(WEEKDAY(A837),7))</f>
        <v/>
      </c>
    </row>
    <row r="838">
      <c r="A838" s="25" t="n"/>
      <c r="B838" s="24" t="n"/>
      <c r="C838" s="26" t="n"/>
      <c r="D838" s="24" t="n"/>
      <c r="E838" s="30" t="n"/>
      <c r="F838" s="31">
        <f>IF(A838="","",A838-MOD(WEEKDAY(A838),7))</f>
        <v/>
      </c>
    </row>
    <row r="839">
      <c r="A839" s="25" t="n"/>
      <c r="B839" s="24" t="n"/>
      <c r="C839" s="26" t="n"/>
      <c r="D839" s="24" t="n"/>
      <c r="E839" s="30" t="n"/>
      <c r="F839" s="31">
        <f>IF(A839="","",A839-MOD(WEEKDAY(A839),7))</f>
        <v/>
      </c>
    </row>
    <row r="840">
      <c r="A840" s="25" t="n"/>
      <c r="B840" s="24" t="n"/>
      <c r="C840" s="26" t="n"/>
      <c r="D840" s="24" t="n"/>
      <c r="E840" s="30" t="n"/>
      <c r="F840" s="31">
        <f>IF(A840="","",A840-MOD(WEEKDAY(A840),7))</f>
        <v/>
      </c>
    </row>
    <row r="841">
      <c r="A841" s="25" t="n"/>
      <c r="B841" s="24" t="n"/>
      <c r="C841" s="26" t="n"/>
      <c r="D841" s="24" t="n"/>
      <c r="E841" s="30" t="n"/>
      <c r="F841" s="31">
        <f>IF(A841="","",A841-MOD(WEEKDAY(A841),7))</f>
        <v/>
      </c>
    </row>
    <row r="842">
      <c r="A842" s="25" t="n"/>
      <c r="B842" s="24" t="n"/>
      <c r="C842" s="26" t="n"/>
      <c r="D842" s="24" t="n"/>
      <c r="E842" s="30" t="n"/>
      <c r="F842" s="31">
        <f>IF(A842="","",A842-MOD(WEEKDAY(A842),7))</f>
        <v/>
      </c>
    </row>
    <row r="843">
      <c r="A843" s="25" t="n"/>
      <c r="B843" s="24" t="n"/>
      <c r="C843" s="26" t="n"/>
      <c r="D843" s="24" t="n"/>
      <c r="E843" s="30" t="n"/>
      <c r="F843" s="31">
        <f>IF(A843="","",A843-MOD(WEEKDAY(A843),7))</f>
        <v/>
      </c>
    </row>
    <row r="844">
      <c r="A844" s="25" t="n"/>
      <c r="B844" s="24" t="n"/>
      <c r="C844" s="26" t="n"/>
      <c r="D844" s="24" t="n"/>
      <c r="E844" s="30" t="n"/>
      <c r="F844" s="31">
        <f>IF(A844="","",A844-MOD(WEEKDAY(A844),7))</f>
        <v/>
      </c>
    </row>
    <row r="845">
      <c r="A845" s="25" t="n"/>
      <c r="B845" s="24" t="n"/>
      <c r="C845" s="26" t="n"/>
      <c r="D845" s="24" t="n"/>
      <c r="E845" s="30" t="n"/>
      <c r="F845" s="31">
        <f>IF(A845="","",A845-MOD(WEEKDAY(A845),7))</f>
        <v/>
      </c>
    </row>
    <row r="846">
      <c r="A846" s="25" t="n"/>
      <c r="B846" s="24" t="n"/>
      <c r="C846" s="26" t="n"/>
      <c r="D846" s="24" t="n"/>
      <c r="E846" s="30" t="n"/>
      <c r="F846" s="31">
        <f>IF(A846="","",A846-MOD(WEEKDAY(A846),7))</f>
        <v/>
      </c>
    </row>
    <row r="847">
      <c r="A847" s="25" t="n"/>
      <c r="B847" s="24" t="n"/>
      <c r="C847" s="26" t="n"/>
      <c r="D847" s="24" t="n"/>
      <c r="E847" s="30" t="n"/>
      <c r="F847" s="31">
        <f>IF(A847="","",A847-MOD(WEEKDAY(A847),7))</f>
        <v/>
      </c>
    </row>
    <row r="848">
      <c r="A848" s="25" t="n"/>
      <c r="B848" s="24" t="n"/>
      <c r="C848" s="26" t="n"/>
      <c r="D848" s="24" t="n"/>
      <c r="E848" s="30" t="n"/>
      <c r="F848" s="31">
        <f>IF(A848="","",A848-MOD(WEEKDAY(A848),7))</f>
        <v/>
      </c>
    </row>
    <row r="849">
      <c r="A849" s="25" t="n"/>
      <c r="B849" s="24" t="n"/>
      <c r="C849" s="26" t="n"/>
      <c r="D849" s="24" t="n"/>
      <c r="E849" s="30" t="n"/>
      <c r="F849" s="31">
        <f>IF(A849="","",A849-MOD(WEEKDAY(A849),7))</f>
        <v/>
      </c>
    </row>
    <row r="850">
      <c r="A850" s="25" t="n"/>
      <c r="B850" s="24" t="n"/>
      <c r="C850" s="26" t="n"/>
      <c r="D850" s="24" t="n"/>
      <c r="E850" s="30" t="n"/>
      <c r="F850" s="31">
        <f>IF(A850="","",A850-MOD(WEEKDAY(A850),7))</f>
        <v/>
      </c>
    </row>
    <row r="851">
      <c r="A851" s="25" t="n"/>
      <c r="B851" s="24" t="n"/>
      <c r="C851" s="26" t="n"/>
      <c r="D851" s="24" t="n"/>
      <c r="E851" s="30" t="n"/>
      <c r="F851" s="31">
        <f>IF(A851="","",A851-MOD(WEEKDAY(A851),7))</f>
        <v/>
      </c>
    </row>
    <row r="852">
      <c r="A852" s="25" t="n"/>
      <c r="B852" s="24" t="n"/>
      <c r="C852" s="26" t="n"/>
      <c r="D852" s="24" t="n"/>
      <c r="E852" s="30" t="n"/>
      <c r="F852" s="31">
        <f>IF(A852="","",A852-MOD(WEEKDAY(A852),7))</f>
        <v/>
      </c>
    </row>
    <row r="853">
      <c r="A853" s="25" t="n"/>
      <c r="B853" s="24" t="n"/>
      <c r="C853" s="26" t="n"/>
      <c r="D853" s="24" t="n"/>
      <c r="E853" s="30" t="n"/>
      <c r="F853" s="31">
        <f>IF(A853="","",A853-MOD(WEEKDAY(A853),7))</f>
        <v/>
      </c>
    </row>
    <row r="854">
      <c r="A854" s="25" t="n"/>
      <c r="B854" s="24" t="n"/>
      <c r="C854" s="26" t="n"/>
      <c r="D854" s="24" t="n"/>
      <c r="E854" s="30" t="n"/>
      <c r="F854" s="31">
        <f>IF(A854="","",A854-MOD(WEEKDAY(A854),7))</f>
        <v/>
      </c>
    </row>
    <row r="855">
      <c r="A855" s="25" t="n"/>
      <c r="B855" s="24" t="n"/>
      <c r="C855" s="26" t="n"/>
      <c r="D855" s="24" t="n"/>
      <c r="E855" s="30" t="n"/>
      <c r="F855" s="31">
        <f>IF(A855="","",A855-MOD(WEEKDAY(A855),7))</f>
        <v/>
      </c>
    </row>
    <row r="856">
      <c r="A856" s="25" t="n"/>
      <c r="B856" s="24" t="n"/>
      <c r="C856" s="26" t="n"/>
      <c r="D856" s="24" t="n"/>
      <c r="E856" s="30" t="n"/>
      <c r="F856" s="31">
        <f>IF(A856="","",A856-MOD(WEEKDAY(A856),7))</f>
        <v/>
      </c>
    </row>
    <row r="857">
      <c r="A857" s="25" t="n"/>
      <c r="B857" s="24" t="n"/>
      <c r="C857" s="26" t="n"/>
      <c r="D857" s="24" t="n"/>
      <c r="E857" s="30" t="n"/>
      <c r="F857" s="31">
        <f>IF(A857="","",A857-MOD(WEEKDAY(A857),7))</f>
        <v/>
      </c>
    </row>
    <row r="858">
      <c r="A858" s="25" t="n"/>
      <c r="B858" s="24" t="n"/>
      <c r="C858" s="26" t="n"/>
      <c r="D858" s="24" t="n"/>
      <c r="E858" s="30" t="n"/>
      <c r="F858" s="31">
        <f>IF(A858="","",A858-MOD(WEEKDAY(A858),7))</f>
        <v/>
      </c>
    </row>
    <row r="859">
      <c r="A859" s="25" t="n"/>
      <c r="B859" s="24" t="n"/>
      <c r="C859" s="26" t="n"/>
      <c r="D859" s="24" t="n"/>
      <c r="E859" s="30" t="n"/>
      <c r="F859" s="31">
        <f>IF(A859="","",A859-MOD(WEEKDAY(A859),7))</f>
        <v/>
      </c>
    </row>
    <row r="860">
      <c r="A860" s="25" t="n"/>
      <c r="B860" s="24" t="n"/>
      <c r="C860" s="26" t="n"/>
      <c r="D860" s="24" t="n"/>
      <c r="E860" s="30" t="n"/>
      <c r="F860" s="31">
        <f>IF(A860="","",A860-MOD(WEEKDAY(A860),7))</f>
        <v/>
      </c>
    </row>
    <row r="861">
      <c r="A861" s="25" t="n"/>
      <c r="B861" s="24" t="n"/>
      <c r="C861" s="26" t="n"/>
      <c r="D861" s="24" t="n"/>
      <c r="E861" s="30" t="n"/>
      <c r="F861" s="31">
        <f>IF(A861="","",A861-MOD(WEEKDAY(A861),7))</f>
        <v/>
      </c>
    </row>
    <row r="862">
      <c r="A862" s="25" t="n"/>
      <c r="B862" s="24" t="n"/>
      <c r="C862" s="26" t="n"/>
      <c r="D862" s="24" t="n"/>
      <c r="E862" s="30" t="n"/>
      <c r="F862" s="31">
        <f>IF(A862="","",A862-MOD(WEEKDAY(A862),7))</f>
        <v/>
      </c>
    </row>
    <row r="863">
      <c r="A863" s="25" t="n"/>
      <c r="B863" s="24" t="n"/>
      <c r="C863" s="26" t="n"/>
      <c r="D863" s="24" t="n"/>
      <c r="E863" s="30" t="n"/>
      <c r="F863" s="31">
        <f>IF(A863="","",A863-MOD(WEEKDAY(A863),7))</f>
        <v/>
      </c>
    </row>
    <row r="864">
      <c r="A864" s="25" t="n"/>
      <c r="B864" s="24" t="n"/>
      <c r="C864" s="26" t="n"/>
      <c r="D864" s="24" t="n"/>
      <c r="E864" s="30" t="n"/>
      <c r="F864" s="31">
        <f>IF(A864="","",A864-MOD(WEEKDAY(A864),7))</f>
        <v/>
      </c>
    </row>
    <row r="865">
      <c r="A865" s="25" t="n"/>
      <c r="B865" s="24" t="n"/>
      <c r="C865" s="26" t="n"/>
      <c r="D865" s="24" t="n"/>
      <c r="E865" s="30" t="n"/>
      <c r="F865" s="31">
        <f>IF(A865="","",A865-MOD(WEEKDAY(A865),7))</f>
        <v/>
      </c>
    </row>
    <row r="866">
      <c r="A866" s="25" t="n"/>
      <c r="B866" s="24" t="n"/>
      <c r="C866" s="26" t="n"/>
      <c r="D866" s="24" t="n"/>
      <c r="E866" s="30" t="n"/>
      <c r="F866" s="31">
        <f>IF(A866="","",A866-MOD(WEEKDAY(A866),7))</f>
        <v/>
      </c>
    </row>
    <row r="867">
      <c r="A867" s="25" t="n"/>
      <c r="B867" s="24" t="n"/>
      <c r="C867" s="26" t="n"/>
      <c r="D867" s="24" t="n"/>
      <c r="E867" s="30" t="n"/>
      <c r="F867" s="31">
        <f>IF(A867="","",A867-MOD(WEEKDAY(A867),7))</f>
        <v/>
      </c>
    </row>
    <row r="868">
      <c r="A868" s="25" t="n"/>
      <c r="B868" s="24" t="n"/>
      <c r="C868" s="26" t="n"/>
      <c r="D868" s="24" t="n"/>
      <c r="E868" s="30" t="n"/>
      <c r="F868" s="31">
        <f>IF(A868="","",A868-MOD(WEEKDAY(A868),7))</f>
        <v/>
      </c>
    </row>
    <row r="869">
      <c r="A869" s="25" t="n"/>
      <c r="B869" s="24" t="n"/>
      <c r="C869" s="26" t="n"/>
      <c r="D869" s="24" t="n"/>
      <c r="E869" s="30" t="n"/>
      <c r="F869" s="31">
        <f>IF(A869="","",A869-MOD(WEEKDAY(A869),7))</f>
        <v/>
      </c>
    </row>
    <row r="870">
      <c r="A870" s="25" t="n"/>
      <c r="B870" s="24" t="n"/>
      <c r="C870" s="26" t="n"/>
      <c r="D870" s="24" t="n"/>
      <c r="E870" s="30" t="n"/>
      <c r="F870" s="31">
        <f>IF(A870="","",A870-MOD(WEEKDAY(A870),7))</f>
        <v/>
      </c>
    </row>
    <row r="871">
      <c r="A871" s="25" t="n"/>
      <c r="B871" s="24" t="n"/>
      <c r="C871" s="26" t="n"/>
      <c r="D871" s="24" t="n"/>
      <c r="E871" s="30" t="n"/>
      <c r="F871" s="31">
        <f>IF(A871="","",A871-MOD(WEEKDAY(A871),7))</f>
        <v/>
      </c>
    </row>
    <row r="872">
      <c r="A872" s="25" t="n"/>
      <c r="B872" s="24" t="n"/>
      <c r="C872" s="26" t="n"/>
      <c r="D872" s="24" t="n"/>
      <c r="E872" s="30" t="n"/>
      <c r="F872" s="31">
        <f>IF(A872="","",A872-MOD(WEEKDAY(A872),7))</f>
        <v/>
      </c>
    </row>
    <row r="873">
      <c r="A873" s="25" t="n"/>
      <c r="B873" s="24" t="n"/>
      <c r="C873" s="26" t="n"/>
      <c r="D873" s="24" t="n"/>
      <c r="E873" s="30" t="n"/>
      <c r="F873" s="31">
        <f>IF(A873="","",A873-MOD(WEEKDAY(A873),7))</f>
        <v/>
      </c>
    </row>
    <row r="874">
      <c r="A874" s="25" t="n"/>
      <c r="B874" s="24" t="n"/>
      <c r="C874" s="26" t="n"/>
      <c r="D874" s="24" t="n"/>
      <c r="E874" s="30" t="n"/>
      <c r="F874" s="31">
        <f>IF(A874="","",A874-MOD(WEEKDAY(A874),7))</f>
        <v/>
      </c>
    </row>
    <row r="875">
      <c r="A875" s="25" t="n"/>
      <c r="B875" s="24" t="n"/>
      <c r="C875" s="26" t="n"/>
      <c r="D875" s="24" t="n"/>
      <c r="E875" s="30" t="n"/>
      <c r="F875" s="31">
        <f>IF(A875="","",A875-MOD(WEEKDAY(A875),7))</f>
        <v/>
      </c>
    </row>
    <row r="876">
      <c r="A876" s="25" t="n"/>
      <c r="B876" s="24" t="n"/>
      <c r="C876" s="26" t="n"/>
      <c r="D876" s="24" t="n"/>
      <c r="E876" s="30" t="n"/>
      <c r="F876" s="31">
        <f>IF(A876="","",A876-MOD(WEEKDAY(A876),7))</f>
        <v/>
      </c>
    </row>
    <row r="877">
      <c r="A877" s="25" t="n"/>
      <c r="B877" s="24" t="n"/>
      <c r="C877" s="26" t="n"/>
      <c r="D877" s="24" t="n"/>
      <c r="E877" s="30" t="n"/>
      <c r="F877" s="31">
        <f>IF(A877="","",A877-MOD(WEEKDAY(A877),7))</f>
        <v/>
      </c>
    </row>
    <row r="878">
      <c r="A878" s="25" t="n"/>
      <c r="B878" s="24" t="n"/>
      <c r="C878" s="26" t="n"/>
      <c r="D878" s="24" t="n"/>
      <c r="E878" s="30" t="n"/>
      <c r="F878" s="31">
        <f>IF(A878="","",A878-MOD(WEEKDAY(A878),7))</f>
        <v/>
      </c>
    </row>
    <row r="879">
      <c r="A879" s="25" t="n"/>
      <c r="B879" s="24" t="n"/>
      <c r="C879" s="26" t="n"/>
      <c r="D879" s="24" t="n"/>
      <c r="E879" s="30" t="n"/>
      <c r="F879" s="31">
        <f>IF(A879="","",A879-MOD(WEEKDAY(A879),7))</f>
        <v/>
      </c>
    </row>
    <row r="880">
      <c r="A880" s="25" t="n"/>
      <c r="B880" s="24" t="n"/>
      <c r="C880" s="26" t="n"/>
      <c r="D880" s="24" t="n"/>
      <c r="E880" s="30" t="n"/>
      <c r="F880" s="31">
        <f>IF(A880="","",A880-MOD(WEEKDAY(A880),7))</f>
        <v/>
      </c>
    </row>
    <row r="881">
      <c r="A881" s="25" t="n"/>
      <c r="B881" s="24" t="n"/>
      <c r="C881" s="26" t="n"/>
      <c r="D881" s="24" t="n"/>
      <c r="E881" s="30" t="n"/>
      <c r="F881" s="31">
        <f>IF(A881="","",A881-MOD(WEEKDAY(A881),7))</f>
        <v/>
      </c>
    </row>
    <row r="882">
      <c r="A882" s="25" t="n"/>
      <c r="B882" s="24" t="n"/>
      <c r="C882" s="26" t="n"/>
      <c r="D882" s="24" t="n"/>
      <c r="E882" s="30" t="n"/>
      <c r="F882" s="31">
        <f>IF(A882="","",A882-MOD(WEEKDAY(A882),7))</f>
        <v/>
      </c>
    </row>
    <row r="883">
      <c r="A883" s="25" t="n"/>
      <c r="B883" s="24" t="n"/>
      <c r="C883" s="26" t="n"/>
      <c r="D883" s="24" t="n"/>
      <c r="E883" s="30" t="n"/>
      <c r="F883" s="31">
        <f>IF(A883="","",A883-MOD(WEEKDAY(A883),7))</f>
        <v/>
      </c>
    </row>
    <row r="884">
      <c r="A884" s="25" t="n"/>
      <c r="B884" s="24" t="n"/>
      <c r="C884" s="26" t="n"/>
      <c r="D884" s="24" t="n"/>
      <c r="E884" s="30" t="n"/>
      <c r="F884" s="31">
        <f>IF(A884="","",A884-MOD(WEEKDAY(A884),7))</f>
        <v/>
      </c>
    </row>
    <row r="885">
      <c r="A885" s="25" t="n"/>
      <c r="B885" s="24" t="n"/>
      <c r="C885" s="26" t="n"/>
      <c r="D885" s="24" t="n"/>
      <c r="E885" s="30" t="n"/>
      <c r="F885" s="31">
        <f>IF(A885="","",A885-MOD(WEEKDAY(A885),7))</f>
        <v/>
      </c>
    </row>
    <row r="886">
      <c r="A886" s="25" t="n"/>
      <c r="B886" s="24" t="n"/>
      <c r="C886" s="26" t="n"/>
      <c r="D886" s="24" t="n"/>
      <c r="E886" s="30" t="n"/>
      <c r="F886" s="31">
        <f>IF(A886="","",A886-MOD(WEEKDAY(A886),7))</f>
        <v/>
      </c>
    </row>
    <row r="887">
      <c r="A887" s="25" t="n"/>
      <c r="B887" s="24" t="n"/>
      <c r="C887" s="26" t="n"/>
      <c r="D887" s="24" t="n"/>
      <c r="E887" s="30" t="n"/>
      <c r="F887" s="31">
        <f>IF(A887="","",A887-MOD(WEEKDAY(A887),7))</f>
        <v/>
      </c>
    </row>
    <row r="888">
      <c r="A888" s="25" t="n"/>
      <c r="B888" s="24" t="n"/>
      <c r="C888" s="26" t="n"/>
      <c r="D888" s="24" t="n"/>
      <c r="E888" s="30" t="n"/>
      <c r="F888" s="31">
        <f>IF(A888="","",A888-MOD(WEEKDAY(A888),7))</f>
        <v/>
      </c>
    </row>
    <row r="889">
      <c r="A889" s="25" t="n"/>
      <c r="B889" s="24" t="n"/>
      <c r="C889" s="26" t="n"/>
      <c r="D889" s="24" t="n"/>
      <c r="E889" s="30" t="n"/>
      <c r="F889" s="31">
        <f>IF(A889="","",A889-MOD(WEEKDAY(A889),7))</f>
        <v/>
      </c>
    </row>
    <row r="890">
      <c r="A890" s="25" t="n"/>
      <c r="B890" s="24" t="n"/>
      <c r="C890" s="26" t="n"/>
      <c r="D890" s="24" t="n"/>
      <c r="E890" s="30" t="n"/>
      <c r="F890" s="31">
        <f>IF(A890="","",A890-MOD(WEEKDAY(A890),7))</f>
        <v/>
      </c>
    </row>
    <row r="891">
      <c r="A891" s="25" t="n"/>
      <c r="B891" s="24" t="n"/>
      <c r="C891" s="26" t="n"/>
      <c r="D891" s="24" t="n"/>
      <c r="E891" s="30" t="n"/>
      <c r="F891" s="31">
        <f>IF(A891="","",A891-MOD(WEEKDAY(A891),7))</f>
        <v/>
      </c>
    </row>
    <row r="892">
      <c r="A892" s="25" t="n"/>
      <c r="B892" s="24" t="n"/>
      <c r="C892" s="26" t="n"/>
      <c r="D892" s="24" t="n"/>
      <c r="E892" s="30" t="n"/>
      <c r="F892" s="31">
        <f>IF(A892="","",A892-MOD(WEEKDAY(A892),7))</f>
        <v/>
      </c>
    </row>
    <row r="893">
      <c r="A893" s="25" t="n"/>
      <c r="B893" s="24" t="n"/>
      <c r="C893" s="26" t="n"/>
      <c r="D893" s="24" t="n"/>
      <c r="E893" s="30" t="n"/>
      <c r="F893" s="31">
        <f>IF(A893="","",A893-MOD(WEEKDAY(A893),7))</f>
        <v/>
      </c>
    </row>
    <row r="894">
      <c r="A894" s="25" t="n"/>
      <c r="B894" s="24" t="n"/>
      <c r="C894" s="26" t="n"/>
      <c r="D894" s="24" t="n"/>
      <c r="E894" s="30" t="n"/>
      <c r="F894" s="31">
        <f>IF(A894="","",A894-MOD(WEEKDAY(A894),7))</f>
        <v/>
      </c>
    </row>
    <row r="895">
      <c r="A895" s="25" t="n"/>
      <c r="B895" s="24" t="n"/>
      <c r="C895" s="26" t="n"/>
      <c r="D895" s="24" t="n"/>
      <c r="E895" s="30" t="n"/>
      <c r="F895" s="31">
        <f>IF(A895="","",A895-MOD(WEEKDAY(A895),7))</f>
        <v/>
      </c>
    </row>
    <row r="896">
      <c r="A896" s="25" t="n"/>
      <c r="B896" s="24" t="n"/>
      <c r="C896" s="26" t="n"/>
      <c r="D896" s="24" t="n"/>
      <c r="E896" s="30" t="n"/>
      <c r="F896" s="31">
        <f>IF(A896="","",A896-MOD(WEEKDAY(A896),7))</f>
        <v/>
      </c>
    </row>
    <row r="897">
      <c r="A897" s="25" t="n"/>
      <c r="B897" s="24" t="n"/>
      <c r="C897" s="26" t="n"/>
      <c r="D897" s="24" t="n"/>
      <c r="E897" s="30" t="n"/>
      <c r="F897" s="31">
        <f>IF(A897="","",A897-MOD(WEEKDAY(A897),7))</f>
        <v/>
      </c>
    </row>
    <row r="898">
      <c r="A898" s="25" t="n"/>
      <c r="B898" s="24" t="n"/>
      <c r="C898" s="26" t="n"/>
      <c r="D898" s="24" t="n"/>
      <c r="E898" s="30" t="n"/>
      <c r="F898" s="31">
        <f>IF(A898="","",A898-MOD(WEEKDAY(A898),7))</f>
        <v/>
      </c>
    </row>
    <row r="899">
      <c r="A899" s="25" t="n"/>
      <c r="B899" s="24" t="n"/>
      <c r="C899" s="26" t="n"/>
      <c r="D899" s="24" t="n"/>
      <c r="E899" s="30" t="n"/>
      <c r="F899" s="31">
        <f>IF(A899="","",A899-MOD(WEEKDAY(A899),7))</f>
        <v/>
      </c>
    </row>
    <row r="900">
      <c r="A900" s="25" t="n"/>
      <c r="B900" s="24" t="n"/>
      <c r="C900" s="26" t="n"/>
      <c r="D900" s="24" t="n"/>
      <c r="E900" s="30" t="n"/>
      <c r="F900" s="31">
        <f>IF(A900="","",A900-MOD(WEEKDAY(A900),7))</f>
        <v/>
      </c>
    </row>
    <row r="901">
      <c r="A901" s="25" t="n"/>
      <c r="B901" s="24" t="n"/>
      <c r="C901" s="26" t="n"/>
      <c r="D901" s="24" t="n"/>
      <c r="E901" s="30" t="n"/>
      <c r="F901" s="31">
        <f>IF(A901="","",A901-MOD(WEEKDAY(A901),7))</f>
        <v/>
      </c>
    </row>
    <row r="902">
      <c r="A902" s="25" t="n"/>
      <c r="B902" s="24" t="n"/>
      <c r="C902" s="26" t="n"/>
      <c r="D902" s="24" t="n"/>
      <c r="E902" s="30" t="n"/>
      <c r="F902" s="31">
        <f>IF(A902="","",A902-MOD(WEEKDAY(A902),7))</f>
        <v/>
      </c>
    </row>
    <row r="903">
      <c r="A903" s="25" t="n"/>
      <c r="B903" s="24" t="n"/>
      <c r="C903" s="26" t="n"/>
      <c r="D903" s="24" t="n"/>
      <c r="E903" s="30" t="n"/>
      <c r="F903" s="31">
        <f>IF(A903="","",A903-MOD(WEEKDAY(A903),7))</f>
        <v/>
      </c>
    </row>
    <row r="904">
      <c r="A904" s="25" t="n"/>
      <c r="B904" s="24" t="n"/>
      <c r="C904" s="26" t="n"/>
      <c r="D904" s="24" t="n"/>
      <c r="E904" s="30" t="n"/>
      <c r="F904" s="31">
        <f>IF(A904="","",A904-MOD(WEEKDAY(A904),7))</f>
        <v/>
      </c>
    </row>
    <row r="905">
      <c r="A905" s="25" t="n"/>
      <c r="B905" s="24" t="n"/>
      <c r="C905" s="26" t="n"/>
      <c r="D905" s="24" t="n"/>
      <c r="E905" s="30" t="n"/>
      <c r="F905" s="31">
        <f>IF(A905="","",A905-MOD(WEEKDAY(A905),7))</f>
        <v/>
      </c>
    </row>
    <row r="906">
      <c r="A906" s="25" t="n"/>
      <c r="B906" s="24" t="n"/>
      <c r="C906" s="26" t="n"/>
      <c r="D906" s="24" t="n"/>
      <c r="E906" s="30" t="n"/>
      <c r="F906" s="31">
        <f>IF(A906="","",A906-MOD(WEEKDAY(A906),7))</f>
        <v/>
      </c>
    </row>
    <row r="907">
      <c r="A907" s="25" t="n"/>
      <c r="B907" s="24" t="n"/>
      <c r="C907" s="26" t="n"/>
      <c r="D907" s="24" t="n"/>
      <c r="E907" s="30" t="n"/>
      <c r="F907" s="31">
        <f>IF(A907="","",A907-MOD(WEEKDAY(A907),7))</f>
        <v/>
      </c>
    </row>
    <row r="908">
      <c r="A908" s="25" t="n"/>
      <c r="B908" s="24" t="n"/>
      <c r="C908" s="26" t="n"/>
      <c r="D908" s="24" t="n"/>
      <c r="E908" s="30" t="n"/>
      <c r="F908" s="31">
        <f>IF(A908="","",A908-MOD(WEEKDAY(A908),7))</f>
        <v/>
      </c>
    </row>
    <row r="909">
      <c r="A909" s="25" t="n"/>
      <c r="B909" s="24" t="n"/>
      <c r="C909" s="26" t="n"/>
      <c r="D909" s="24" t="n"/>
      <c r="E909" s="30" t="n"/>
      <c r="F909" s="31">
        <f>IF(A909="","",A909-MOD(WEEKDAY(A909),7))</f>
        <v/>
      </c>
    </row>
    <row r="910">
      <c r="A910" s="25" t="n"/>
      <c r="B910" s="24" t="n"/>
      <c r="C910" s="26" t="n"/>
      <c r="D910" s="24" t="n"/>
      <c r="E910" s="30" t="n"/>
      <c r="F910" s="31">
        <f>IF(A910="","",A910-MOD(WEEKDAY(A910),7))</f>
        <v/>
      </c>
    </row>
    <row r="911">
      <c r="A911" s="25" t="n"/>
      <c r="B911" s="24" t="n"/>
      <c r="C911" s="26" t="n"/>
      <c r="D911" s="24" t="n"/>
      <c r="E911" s="30" t="n"/>
      <c r="F911" s="31">
        <f>IF(A911="","",A911-MOD(WEEKDAY(A911),7))</f>
        <v/>
      </c>
    </row>
    <row r="912">
      <c r="A912" s="25" t="n"/>
      <c r="B912" s="24" t="n"/>
      <c r="C912" s="26" t="n"/>
      <c r="D912" s="24" t="n"/>
      <c r="E912" s="30" t="n"/>
      <c r="F912" s="31">
        <f>IF(A912="","",A912-MOD(WEEKDAY(A912),7))</f>
        <v/>
      </c>
    </row>
    <row r="913">
      <c r="A913" s="25" t="n"/>
      <c r="B913" s="24" t="n"/>
      <c r="C913" s="26" t="n"/>
      <c r="D913" s="24" t="n"/>
      <c r="E913" s="30" t="n"/>
      <c r="F913" s="31">
        <f>IF(A913="","",A913-MOD(WEEKDAY(A913),7))</f>
        <v/>
      </c>
    </row>
    <row r="914">
      <c r="A914" s="25" t="n"/>
      <c r="B914" s="24" t="n"/>
      <c r="C914" s="26" t="n"/>
      <c r="D914" s="24" t="n"/>
      <c r="E914" s="30" t="n"/>
      <c r="F914" s="31">
        <f>IF(A914="","",A914-MOD(WEEKDAY(A914),7))</f>
        <v/>
      </c>
    </row>
    <row r="915">
      <c r="A915" s="25" t="n"/>
      <c r="B915" s="24" t="n"/>
      <c r="C915" s="26" t="n"/>
      <c r="D915" s="24" t="n"/>
      <c r="E915" s="30" t="n"/>
      <c r="F915" s="31">
        <f>IF(A915="","",A915-MOD(WEEKDAY(A915),7))</f>
        <v/>
      </c>
    </row>
    <row r="916">
      <c r="A916" s="25" t="n"/>
      <c r="B916" s="24" t="n"/>
      <c r="C916" s="26" t="n"/>
      <c r="D916" s="24" t="n"/>
      <c r="E916" s="30" t="n"/>
      <c r="F916" s="31">
        <f>IF(A916="","",A916-MOD(WEEKDAY(A916),7))</f>
        <v/>
      </c>
    </row>
    <row r="917">
      <c r="A917" s="25" t="n"/>
      <c r="B917" s="24" t="n"/>
      <c r="C917" s="26" t="n"/>
      <c r="D917" s="24" t="n"/>
      <c r="E917" s="30" t="n"/>
      <c r="F917" s="31">
        <f>IF(A917="","",A917-MOD(WEEKDAY(A917),7))</f>
        <v/>
      </c>
    </row>
    <row r="918">
      <c r="A918" s="25" t="n"/>
      <c r="B918" s="24" t="n"/>
      <c r="C918" s="26" t="n"/>
      <c r="D918" s="24" t="n"/>
      <c r="E918" s="30" t="n"/>
      <c r="F918" s="31">
        <f>IF(A918="","",A918-MOD(WEEKDAY(A918),7))</f>
        <v/>
      </c>
    </row>
    <row r="919">
      <c r="A919" s="25" t="n"/>
      <c r="B919" s="24" t="n"/>
      <c r="C919" s="26" t="n"/>
      <c r="D919" s="24" t="n"/>
      <c r="E919" s="30" t="n"/>
      <c r="F919" s="31">
        <f>IF(A919="","",A919-MOD(WEEKDAY(A919),7))</f>
        <v/>
      </c>
    </row>
    <row r="920">
      <c r="A920" s="25" t="n"/>
      <c r="B920" s="24" t="n"/>
      <c r="C920" s="26" t="n"/>
      <c r="D920" s="24" t="n"/>
      <c r="E920" s="30" t="n"/>
      <c r="F920" s="31">
        <f>IF(A920="","",A920-MOD(WEEKDAY(A920),7))</f>
        <v/>
      </c>
    </row>
    <row r="921">
      <c r="A921" s="25" t="n"/>
      <c r="B921" s="24" t="n"/>
      <c r="C921" s="26" t="n"/>
      <c r="D921" s="24" t="n"/>
      <c r="E921" s="30" t="n"/>
      <c r="F921" s="31">
        <f>IF(A921="","",A921-MOD(WEEKDAY(A921),7))</f>
        <v/>
      </c>
    </row>
    <row r="922">
      <c r="A922" s="25" t="n"/>
      <c r="B922" s="24" t="n"/>
      <c r="C922" s="26" t="n"/>
      <c r="D922" s="24" t="n"/>
      <c r="E922" s="30" t="n"/>
      <c r="F922" s="31">
        <f>IF(A922="","",A922-MOD(WEEKDAY(A922),7))</f>
        <v/>
      </c>
    </row>
    <row r="923">
      <c r="A923" s="25" t="n"/>
      <c r="B923" s="24" t="n"/>
      <c r="C923" s="26" t="n"/>
      <c r="D923" s="24" t="n"/>
      <c r="E923" s="30" t="n"/>
      <c r="F923" s="31">
        <f>IF(A923="","",A923-MOD(WEEKDAY(A923),7))</f>
        <v/>
      </c>
    </row>
    <row r="924">
      <c r="A924" s="25" t="n"/>
      <c r="B924" s="24" t="n"/>
      <c r="C924" s="26" t="n"/>
      <c r="D924" s="24" t="n"/>
      <c r="E924" s="30" t="n"/>
      <c r="F924" s="31">
        <f>IF(A924="","",A924-MOD(WEEKDAY(A924),7))</f>
        <v/>
      </c>
    </row>
    <row r="925">
      <c r="A925" s="25" t="n"/>
      <c r="B925" s="24" t="n"/>
      <c r="C925" s="26" t="n"/>
      <c r="D925" s="24" t="n"/>
      <c r="E925" s="30" t="n"/>
      <c r="F925" s="31">
        <f>IF(A925="","",A925-MOD(WEEKDAY(A925),7))</f>
        <v/>
      </c>
    </row>
    <row r="926">
      <c r="A926" s="25" t="n"/>
      <c r="B926" s="24" t="n"/>
      <c r="C926" s="26" t="n"/>
      <c r="D926" s="24" t="n"/>
      <c r="E926" s="30" t="n"/>
      <c r="F926" s="31">
        <f>IF(A926="","",A926-MOD(WEEKDAY(A926),7))</f>
        <v/>
      </c>
    </row>
    <row r="927">
      <c r="A927" s="25" t="n"/>
      <c r="B927" s="24" t="n"/>
      <c r="C927" s="26" t="n"/>
      <c r="D927" s="24" t="n"/>
      <c r="E927" s="30" t="n"/>
      <c r="F927" s="31">
        <f>IF(A927="","",A927-MOD(WEEKDAY(A927),7))</f>
        <v/>
      </c>
    </row>
    <row r="928">
      <c r="A928" s="25" t="n"/>
      <c r="B928" s="24" t="n"/>
      <c r="C928" s="26" t="n"/>
      <c r="D928" s="24" t="n"/>
      <c r="E928" s="30" t="n"/>
      <c r="F928" s="31">
        <f>IF(A928="","",A928-MOD(WEEKDAY(A928),7))</f>
        <v/>
      </c>
    </row>
    <row r="929">
      <c r="A929" s="25" t="n"/>
      <c r="B929" s="24" t="n"/>
      <c r="C929" s="26" t="n"/>
      <c r="D929" s="24" t="n"/>
      <c r="E929" s="30" t="n"/>
      <c r="F929" s="31">
        <f>IF(A929="","",A929-MOD(WEEKDAY(A929),7))</f>
        <v/>
      </c>
    </row>
    <row r="930">
      <c r="A930" s="25" t="n"/>
      <c r="B930" s="24" t="n"/>
      <c r="C930" s="26" t="n"/>
      <c r="D930" s="24" t="n"/>
      <c r="E930" s="30" t="n"/>
      <c r="F930" s="31">
        <f>IF(A930="","",A930-MOD(WEEKDAY(A930),7))</f>
        <v/>
      </c>
    </row>
    <row r="931">
      <c r="A931" s="25" t="n"/>
      <c r="B931" s="24" t="n"/>
      <c r="C931" s="26" t="n"/>
      <c r="D931" s="24" t="n"/>
      <c r="E931" s="30" t="n"/>
      <c r="F931" s="31">
        <f>IF(A931="","",A931-MOD(WEEKDAY(A931),7))</f>
        <v/>
      </c>
    </row>
    <row r="932">
      <c r="A932" s="25" t="n"/>
      <c r="B932" s="24" t="n"/>
      <c r="C932" s="26" t="n"/>
      <c r="D932" s="24" t="n"/>
      <c r="E932" s="30" t="n"/>
      <c r="F932" s="31">
        <f>IF(A932="","",A932-MOD(WEEKDAY(A932),7))</f>
        <v/>
      </c>
    </row>
    <row r="933">
      <c r="A933" s="25" t="n"/>
      <c r="B933" s="24" t="n"/>
      <c r="C933" s="26" t="n"/>
      <c r="D933" s="24" t="n"/>
      <c r="E933" s="30" t="n"/>
      <c r="F933" s="31">
        <f>IF(A933="","",A933-MOD(WEEKDAY(A933),7))</f>
        <v/>
      </c>
    </row>
    <row r="934">
      <c r="A934" s="25" t="n"/>
      <c r="B934" s="24" t="n"/>
      <c r="C934" s="26" t="n"/>
      <c r="D934" s="24" t="n"/>
      <c r="E934" s="30" t="n"/>
      <c r="F934" s="31">
        <f>IF(A934="","",A934-MOD(WEEKDAY(A934),7))</f>
        <v/>
      </c>
    </row>
    <row r="935">
      <c r="A935" s="25" t="n"/>
      <c r="B935" s="24" t="n"/>
      <c r="C935" s="26" t="n"/>
      <c r="D935" s="24" t="n"/>
      <c r="E935" s="30" t="n"/>
      <c r="F935" s="31">
        <f>IF(A935="","",A935-MOD(WEEKDAY(A935),7))</f>
        <v/>
      </c>
    </row>
    <row r="936">
      <c r="A936" s="25" t="n"/>
      <c r="B936" s="24" t="n"/>
      <c r="C936" s="26" t="n"/>
      <c r="D936" s="24" t="n"/>
      <c r="E936" s="30" t="n"/>
      <c r="F936" s="31">
        <f>IF(A936="","",A936-MOD(WEEKDAY(A936),7))</f>
        <v/>
      </c>
    </row>
    <row r="937">
      <c r="A937" s="25" t="n"/>
      <c r="B937" s="24" t="n"/>
      <c r="C937" s="26" t="n"/>
      <c r="D937" s="24" t="n"/>
      <c r="E937" s="30" t="n"/>
      <c r="F937" s="31">
        <f>IF(A937="","",A937-MOD(WEEKDAY(A937),7))</f>
        <v/>
      </c>
    </row>
    <row r="938">
      <c r="A938" s="25" t="n"/>
      <c r="B938" s="24" t="n"/>
      <c r="C938" s="26" t="n"/>
      <c r="D938" s="24" t="n"/>
      <c r="E938" s="30" t="n"/>
      <c r="F938" s="31">
        <f>IF(A938="","",A938-MOD(WEEKDAY(A938),7))</f>
        <v/>
      </c>
    </row>
    <row r="939">
      <c r="A939" s="25" t="n"/>
      <c r="B939" s="24" t="n"/>
      <c r="C939" s="26" t="n"/>
      <c r="D939" s="24" t="n"/>
      <c r="E939" s="30" t="n"/>
      <c r="F939" s="31">
        <f>IF(A939="","",A939-MOD(WEEKDAY(A939),7))</f>
        <v/>
      </c>
    </row>
    <row r="940">
      <c r="A940" s="25" t="n"/>
      <c r="B940" s="24" t="n"/>
      <c r="C940" s="26" t="n"/>
      <c r="D940" s="24" t="n"/>
      <c r="E940" s="30" t="n"/>
      <c r="F940" s="31">
        <f>IF(A940="","",A940-MOD(WEEKDAY(A940),7))</f>
        <v/>
      </c>
    </row>
    <row r="941">
      <c r="A941" s="25" t="n"/>
      <c r="B941" s="24" t="n"/>
      <c r="C941" s="26" t="n"/>
      <c r="D941" s="24" t="n"/>
      <c r="E941" s="30" t="n"/>
      <c r="F941" s="31">
        <f>IF(A941="","",A941-MOD(WEEKDAY(A941),7))</f>
        <v/>
      </c>
    </row>
    <row r="942">
      <c r="A942" s="25" t="n"/>
      <c r="B942" s="24" t="n"/>
      <c r="C942" s="26" t="n"/>
      <c r="D942" s="24" t="n"/>
      <c r="E942" s="30" t="n"/>
      <c r="F942" s="31">
        <f>IF(A942="","",A942-MOD(WEEKDAY(A942),7))</f>
        <v/>
      </c>
    </row>
    <row r="943">
      <c r="A943" s="25" t="n"/>
      <c r="B943" s="24" t="n"/>
      <c r="C943" s="26" t="n"/>
      <c r="D943" s="24" t="n"/>
      <c r="E943" s="30" t="n"/>
      <c r="F943" s="31">
        <f>IF(A943="","",A943-MOD(WEEKDAY(A943),7))</f>
        <v/>
      </c>
    </row>
    <row r="944">
      <c r="A944" s="25" t="n"/>
      <c r="B944" s="24" t="n"/>
      <c r="C944" s="26" t="n"/>
      <c r="D944" s="24" t="n"/>
      <c r="E944" s="30" t="n"/>
      <c r="F944" s="31">
        <f>IF(A944="","",A944-MOD(WEEKDAY(A944),7))</f>
        <v/>
      </c>
    </row>
    <row r="945">
      <c r="A945" s="25" t="n"/>
      <c r="B945" s="24" t="n"/>
      <c r="C945" s="26" t="n"/>
      <c r="D945" s="24" t="n"/>
      <c r="E945" s="30" t="n"/>
      <c r="F945" s="31">
        <f>IF(A945="","",A945-MOD(WEEKDAY(A945),7))</f>
        <v/>
      </c>
    </row>
    <row r="946">
      <c r="A946" s="25" t="n"/>
      <c r="B946" s="24" t="n"/>
      <c r="C946" s="26" t="n"/>
      <c r="D946" s="24" t="n"/>
      <c r="E946" s="30" t="n"/>
      <c r="F946" s="31">
        <f>IF(A946="","",A946-MOD(WEEKDAY(A946),7))</f>
        <v/>
      </c>
    </row>
    <row r="947">
      <c r="A947" s="25" t="n"/>
      <c r="B947" s="24" t="n"/>
      <c r="C947" s="26" t="n"/>
      <c r="D947" s="24" t="n"/>
      <c r="E947" s="30" t="n"/>
      <c r="F947" s="31">
        <f>IF(A947="","",A947-MOD(WEEKDAY(A947),7))</f>
        <v/>
      </c>
    </row>
    <row r="948">
      <c r="A948" s="25" t="n"/>
      <c r="B948" s="24" t="n"/>
      <c r="C948" s="26" t="n"/>
      <c r="D948" s="24" t="n"/>
      <c r="E948" s="30" t="n"/>
      <c r="F948" s="31">
        <f>IF(A948="","",A948-MOD(WEEKDAY(A948),7))</f>
        <v/>
      </c>
    </row>
    <row r="949">
      <c r="A949" s="25" t="n"/>
      <c r="B949" s="24" t="n"/>
      <c r="C949" s="26" t="n"/>
      <c r="D949" s="24" t="n"/>
      <c r="E949" s="30" t="n"/>
      <c r="F949" s="31">
        <f>IF(A949="","",A949-MOD(WEEKDAY(A949),7))</f>
        <v/>
      </c>
    </row>
    <row r="950">
      <c r="A950" s="25" t="n"/>
      <c r="B950" s="24" t="n"/>
      <c r="C950" s="26" t="n"/>
      <c r="D950" s="24" t="n"/>
      <c r="E950" s="30" t="n"/>
      <c r="F950" s="31">
        <f>IF(A950="","",A950-MOD(WEEKDAY(A950),7))</f>
        <v/>
      </c>
    </row>
    <row r="951">
      <c r="A951" s="25" t="n"/>
      <c r="B951" s="24" t="n"/>
      <c r="C951" s="26" t="n"/>
      <c r="D951" s="24" t="n"/>
      <c r="E951" s="30" t="n"/>
      <c r="F951" s="31">
        <f>IF(A951="","",A951-MOD(WEEKDAY(A951),7))</f>
        <v/>
      </c>
    </row>
    <row r="952">
      <c r="A952" s="25" t="n"/>
      <c r="B952" s="24" t="n"/>
      <c r="C952" s="26" t="n"/>
      <c r="D952" s="24" t="n"/>
      <c r="E952" s="30" t="n"/>
      <c r="F952" s="31">
        <f>IF(A952="","",A952-MOD(WEEKDAY(A952),7))</f>
        <v/>
      </c>
    </row>
    <row r="953">
      <c r="A953" s="25" t="n"/>
      <c r="B953" s="24" t="n"/>
      <c r="C953" s="26" t="n"/>
      <c r="D953" s="24" t="n"/>
      <c r="E953" s="30" t="n"/>
      <c r="F953" s="31">
        <f>IF(A953="","",A953-MOD(WEEKDAY(A953),7))</f>
        <v/>
      </c>
    </row>
    <row r="954">
      <c r="A954" s="25" t="n"/>
      <c r="B954" s="24" t="n"/>
      <c r="C954" s="26" t="n"/>
      <c r="D954" s="24" t="n"/>
      <c r="E954" s="30" t="n"/>
      <c r="F954" s="31">
        <f>IF(A954="","",A954-MOD(WEEKDAY(A954),7))</f>
        <v/>
      </c>
    </row>
    <row r="955">
      <c r="A955" s="25" t="n"/>
      <c r="B955" s="24" t="n"/>
      <c r="C955" s="26" t="n"/>
      <c r="D955" s="24" t="n"/>
      <c r="E955" s="30" t="n"/>
      <c r="F955" s="31">
        <f>IF(A955="","",A955-MOD(WEEKDAY(A955),7))</f>
        <v/>
      </c>
    </row>
    <row r="956">
      <c r="A956" s="25" t="n"/>
      <c r="B956" s="24" t="n"/>
      <c r="C956" s="26" t="n"/>
      <c r="D956" s="24" t="n"/>
      <c r="E956" s="30" t="n"/>
      <c r="F956" s="31">
        <f>IF(A956="","",A956-MOD(WEEKDAY(A956),7))</f>
        <v/>
      </c>
    </row>
    <row r="957">
      <c r="A957" s="25" t="n"/>
      <c r="B957" s="24" t="n"/>
      <c r="C957" s="26" t="n"/>
      <c r="D957" s="24" t="n"/>
      <c r="E957" s="30" t="n"/>
      <c r="F957" s="31">
        <f>IF(A957="","",A957-MOD(WEEKDAY(A957),7))</f>
        <v/>
      </c>
    </row>
    <row r="958">
      <c r="A958" s="25" t="n"/>
      <c r="B958" s="24" t="n"/>
      <c r="C958" s="26" t="n"/>
      <c r="D958" s="24" t="n"/>
      <c r="E958" s="30" t="n"/>
      <c r="F958" s="31">
        <f>IF(A958="","",A958-MOD(WEEKDAY(A958),7))</f>
        <v/>
      </c>
    </row>
    <row r="959">
      <c r="A959" s="25" t="n"/>
      <c r="B959" s="24" t="n"/>
      <c r="C959" s="26" t="n"/>
      <c r="D959" s="24" t="n"/>
      <c r="E959" s="30" t="n"/>
      <c r="F959" s="31">
        <f>IF(A959="","",A959-MOD(WEEKDAY(A959),7))</f>
        <v/>
      </c>
    </row>
    <row r="960">
      <c r="A960" s="25" t="n"/>
      <c r="B960" s="24" t="n"/>
      <c r="C960" s="26" t="n"/>
      <c r="D960" s="24" t="n"/>
      <c r="E960" s="30" t="n"/>
      <c r="F960" s="31">
        <f>IF(A960="","",A960-MOD(WEEKDAY(A960),7))</f>
        <v/>
      </c>
    </row>
    <row r="961">
      <c r="A961" s="25" t="n"/>
      <c r="B961" s="24" t="n"/>
      <c r="C961" s="26" t="n"/>
      <c r="D961" s="24" t="n"/>
      <c r="E961" s="30" t="n"/>
      <c r="F961" s="31">
        <f>IF(A961="","",A961-MOD(WEEKDAY(A961),7))</f>
        <v/>
      </c>
    </row>
    <row r="962">
      <c r="A962" s="25" t="n"/>
      <c r="B962" s="24" t="n"/>
      <c r="C962" s="26" t="n"/>
      <c r="D962" s="24" t="n"/>
      <c r="E962" s="30" t="n"/>
      <c r="F962" s="31">
        <f>IF(A962="","",A962-MOD(WEEKDAY(A962),7))</f>
        <v/>
      </c>
    </row>
    <row r="963">
      <c r="A963" s="25" t="n"/>
      <c r="B963" s="24" t="n"/>
      <c r="C963" s="26" t="n"/>
      <c r="D963" s="24" t="n"/>
      <c r="E963" s="30" t="n"/>
      <c r="F963" s="31">
        <f>IF(A963="","",A963-MOD(WEEKDAY(A963),7))</f>
        <v/>
      </c>
    </row>
    <row r="964">
      <c r="A964" s="25" t="n"/>
      <c r="B964" s="24" t="n"/>
      <c r="C964" s="26" t="n"/>
      <c r="D964" s="24" t="n"/>
      <c r="E964" s="30" t="n"/>
      <c r="F964" s="31">
        <f>IF(A964="","",A964-MOD(WEEKDAY(A964),7))</f>
        <v/>
      </c>
    </row>
    <row r="965">
      <c r="A965" s="25" t="n"/>
      <c r="B965" s="24" t="n"/>
      <c r="C965" s="26" t="n"/>
      <c r="D965" s="24" t="n"/>
      <c r="E965" s="30" t="n"/>
      <c r="F965" s="31">
        <f>IF(A965="","",A965-MOD(WEEKDAY(A965),7))</f>
        <v/>
      </c>
    </row>
    <row r="966">
      <c r="A966" s="25" t="n"/>
      <c r="B966" s="24" t="n"/>
      <c r="C966" s="26" t="n"/>
      <c r="D966" s="24" t="n"/>
      <c r="E966" s="30" t="n"/>
      <c r="F966" s="31">
        <f>IF(A966="","",A966-MOD(WEEKDAY(A966),7))</f>
        <v/>
      </c>
    </row>
    <row r="967">
      <c r="A967" s="25" t="n"/>
      <c r="B967" s="24" t="n"/>
      <c r="C967" s="26" t="n"/>
      <c r="D967" s="24" t="n"/>
      <c r="E967" s="30" t="n"/>
      <c r="F967" s="31">
        <f>IF(A967="","",A967-MOD(WEEKDAY(A967),7))</f>
        <v/>
      </c>
    </row>
    <row r="968">
      <c r="A968" s="25" t="n"/>
      <c r="B968" s="24" t="n"/>
      <c r="C968" s="26" t="n"/>
      <c r="D968" s="24" t="n"/>
      <c r="E968" s="30" t="n"/>
      <c r="F968" s="31">
        <f>IF(A968="","",A968-MOD(WEEKDAY(A968),7))</f>
        <v/>
      </c>
    </row>
    <row r="969">
      <c r="A969" s="25" t="n"/>
      <c r="B969" s="24" t="n"/>
      <c r="C969" s="26" t="n"/>
      <c r="D969" s="24" t="n"/>
      <c r="E969" s="30" t="n"/>
      <c r="F969" s="31">
        <f>IF(A969="","",A969-MOD(WEEKDAY(A969),7))</f>
        <v/>
      </c>
    </row>
    <row r="970">
      <c r="A970" s="25" t="n"/>
      <c r="B970" s="24" t="n"/>
      <c r="C970" s="26" t="n"/>
      <c r="D970" s="24" t="n"/>
      <c r="E970" s="30" t="n"/>
      <c r="F970" s="31">
        <f>IF(A970="","",A970-MOD(WEEKDAY(A970),7))</f>
        <v/>
      </c>
    </row>
    <row r="971">
      <c r="A971" s="25" t="n"/>
      <c r="B971" s="24" t="n"/>
      <c r="C971" s="26" t="n"/>
      <c r="D971" s="24" t="n"/>
      <c r="E971" s="30" t="n"/>
      <c r="F971" s="31">
        <f>IF(A971="","",A971-MOD(WEEKDAY(A971),7))</f>
        <v/>
      </c>
    </row>
    <row r="972">
      <c r="A972" s="25" t="n"/>
      <c r="B972" s="24" t="n"/>
      <c r="C972" s="26" t="n"/>
      <c r="D972" s="24" t="n"/>
      <c r="E972" s="30" t="n"/>
      <c r="F972" s="31">
        <f>IF(A972="","",A972-MOD(WEEKDAY(A972),7))</f>
        <v/>
      </c>
    </row>
    <row r="973">
      <c r="A973" s="25" t="n"/>
      <c r="B973" s="24" t="n"/>
      <c r="C973" s="26" t="n"/>
      <c r="D973" s="24" t="n"/>
      <c r="E973" s="30" t="n"/>
      <c r="F973" s="31">
        <f>IF(A973="","",A973-MOD(WEEKDAY(A973),7))</f>
        <v/>
      </c>
    </row>
    <row r="974">
      <c r="A974" s="25" t="n"/>
      <c r="B974" s="24" t="n"/>
      <c r="C974" s="26" t="n"/>
      <c r="D974" s="24" t="n"/>
      <c r="E974" s="30" t="n"/>
      <c r="F974" s="31">
        <f>IF(A974="","",A974-MOD(WEEKDAY(A974),7))</f>
        <v/>
      </c>
    </row>
    <row r="975">
      <c r="A975" s="25" t="n"/>
      <c r="B975" s="24" t="n"/>
      <c r="C975" s="26" t="n"/>
      <c r="D975" s="24" t="n"/>
      <c r="E975" s="30" t="n"/>
      <c r="F975" s="31">
        <f>IF(A975="","",A975-MOD(WEEKDAY(A975),7))</f>
        <v/>
      </c>
    </row>
    <row r="976">
      <c r="A976" s="25" t="n"/>
      <c r="B976" s="24" t="n"/>
      <c r="C976" s="26" t="n"/>
      <c r="D976" s="24" t="n"/>
      <c r="E976" s="30" t="n"/>
      <c r="F976" s="31">
        <f>IF(A976="","",A976-MOD(WEEKDAY(A976),7))</f>
        <v/>
      </c>
    </row>
    <row r="977">
      <c r="A977" s="25" t="n"/>
      <c r="B977" s="24" t="n"/>
      <c r="C977" s="26" t="n"/>
      <c r="D977" s="24" t="n"/>
      <c r="E977" s="30" t="n"/>
      <c r="F977" s="31">
        <f>IF(A977="","",A977-MOD(WEEKDAY(A977),7))</f>
        <v/>
      </c>
    </row>
    <row r="978">
      <c r="A978" s="25" t="n"/>
      <c r="B978" s="24" t="n"/>
      <c r="C978" s="26" t="n"/>
      <c r="D978" s="24" t="n"/>
      <c r="E978" s="30" t="n"/>
      <c r="F978" s="31">
        <f>IF(A978="","",A978-MOD(WEEKDAY(A978),7))</f>
        <v/>
      </c>
    </row>
    <row r="979">
      <c r="A979" s="25" t="n"/>
      <c r="B979" s="24" t="n"/>
      <c r="C979" s="26" t="n"/>
      <c r="D979" s="24" t="n"/>
      <c r="E979" s="30" t="n"/>
      <c r="F979" s="31">
        <f>IF(A979="","",A979-MOD(WEEKDAY(A979),7))</f>
        <v/>
      </c>
    </row>
    <row r="980">
      <c r="A980" s="25" t="n"/>
      <c r="B980" s="24" t="n"/>
      <c r="C980" s="26" t="n"/>
      <c r="D980" s="24" t="n"/>
      <c r="E980" s="30" t="n"/>
      <c r="F980" s="31">
        <f>IF(A980="","",A980-MOD(WEEKDAY(A980),7))</f>
        <v/>
      </c>
    </row>
    <row r="981">
      <c r="A981" s="25" t="n"/>
      <c r="B981" s="24" t="n"/>
      <c r="C981" s="26" t="n"/>
      <c r="D981" s="24" t="n"/>
      <c r="E981" s="30" t="n"/>
      <c r="F981" s="31">
        <f>IF(A981="","",A981-MOD(WEEKDAY(A981),7))</f>
        <v/>
      </c>
    </row>
    <row r="982">
      <c r="A982" s="25" t="n"/>
      <c r="B982" s="24" t="n"/>
      <c r="C982" s="26" t="n"/>
      <c r="D982" s="24" t="n"/>
      <c r="E982" s="30" t="n"/>
      <c r="F982" s="31">
        <f>IF(A982="","",A982-MOD(WEEKDAY(A982),7))</f>
        <v/>
      </c>
    </row>
    <row r="983">
      <c r="A983" s="25" t="n"/>
      <c r="B983" s="24" t="n"/>
      <c r="C983" s="26" t="n"/>
      <c r="D983" s="24" t="n"/>
      <c r="E983" s="30" t="n"/>
      <c r="F983" s="31">
        <f>IF(A983="","",A983-MOD(WEEKDAY(A983),7))</f>
        <v/>
      </c>
    </row>
    <row r="984">
      <c r="A984" s="25" t="n"/>
      <c r="B984" s="24" t="n"/>
      <c r="C984" s="26" t="n"/>
      <c r="D984" s="24" t="n"/>
      <c r="E984" s="30" t="n"/>
      <c r="F984" s="31">
        <f>IF(A984="","",A984-MOD(WEEKDAY(A984),7))</f>
        <v/>
      </c>
    </row>
    <row r="985">
      <c r="A985" s="25" t="n"/>
      <c r="B985" s="24" t="n"/>
      <c r="C985" s="26" t="n"/>
      <c r="D985" s="24" t="n"/>
      <c r="E985" s="30" t="n"/>
      <c r="F985" s="31">
        <f>IF(A985="","",A985-MOD(WEEKDAY(A985),7))</f>
        <v/>
      </c>
    </row>
    <row r="986">
      <c r="A986" s="25" t="n"/>
      <c r="B986" s="24" t="n"/>
      <c r="C986" s="26" t="n"/>
      <c r="D986" s="24" t="n"/>
      <c r="E986" s="30" t="n"/>
      <c r="F986" s="31">
        <f>IF(A986="","",A986-MOD(WEEKDAY(A986),7))</f>
        <v/>
      </c>
    </row>
    <row r="987">
      <c r="A987" s="25" t="n"/>
      <c r="B987" s="24" t="n"/>
      <c r="C987" s="26" t="n"/>
      <c r="D987" s="24" t="n"/>
      <c r="E987" s="30" t="n"/>
      <c r="F987" s="31">
        <f>IF(A987="","",A987-MOD(WEEKDAY(A987),7))</f>
        <v/>
      </c>
    </row>
    <row r="988">
      <c r="A988" s="25" t="n"/>
      <c r="B988" s="24" t="n"/>
      <c r="C988" s="26" t="n"/>
      <c r="D988" s="24" t="n"/>
      <c r="E988" s="30" t="n"/>
      <c r="F988" s="31">
        <f>IF(A988="","",A988-MOD(WEEKDAY(A988),7))</f>
        <v/>
      </c>
    </row>
    <row r="989">
      <c r="A989" s="25" t="n"/>
      <c r="B989" s="24" t="n"/>
      <c r="C989" s="26" t="n"/>
      <c r="D989" s="24" t="n"/>
      <c r="E989" s="30" t="n"/>
      <c r="F989" s="31">
        <f>IF(A989="","",A989-MOD(WEEKDAY(A989),7))</f>
        <v/>
      </c>
    </row>
    <row r="990">
      <c r="A990" s="25" t="n"/>
      <c r="B990" s="24" t="n"/>
      <c r="C990" s="26" t="n"/>
      <c r="D990" s="24" t="n"/>
      <c r="E990" s="30" t="n"/>
      <c r="F990" s="31">
        <f>IF(A990="","",A990-MOD(WEEKDAY(A990),7))</f>
        <v/>
      </c>
    </row>
    <row r="991">
      <c r="A991" s="25" t="n"/>
      <c r="B991" s="24" t="n"/>
      <c r="C991" s="26" t="n"/>
      <c r="D991" s="24" t="n"/>
      <c r="E991" s="30" t="n"/>
      <c r="F991" s="31">
        <f>IF(A991="","",A991-MOD(WEEKDAY(A991),7))</f>
        <v/>
      </c>
    </row>
    <row r="992">
      <c r="A992" s="25" t="n"/>
      <c r="B992" s="24" t="n"/>
      <c r="C992" s="26" t="n"/>
      <c r="D992" s="24" t="n"/>
      <c r="E992" s="30" t="n"/>
      <c r="F992" s="31">
        <f>IF(A992="","",A992-MOD(WEEKDAY(A992),7))</f>
        <v/>
      </c>
    </row>
    <row r="993">
      <c r="A993" s="25" t="n"/>
      <c r="B993" s="24" t="n"/>
      <c r="C993" s="26" t="n"/>
      <c r="D993" s="24" t="n"/>
      <c r="E993" s="30" t="n"/>
      <c r="F993" s="31">
        <f>IF(A993="","",A993-MOD(WEEKDAY(A993),7))</f>
        <v/>
      </c>
    </row>
    <row r="994">
      <c r="A994" s="25" t="n"/>
      <c r="B994" s="24" t="n"/>
      <c r="C994" s="26" t="n"/>
      <c r="D994" s="24" t="n"/>
      <c r="E994" s="30" t="n"/>
      <c r="F994" s="31">
        <f>IF(A994="","",A994-MOD(WEEKDAY(A994),7))</f>
        <v/>
      </c>
    </row>
    <row r="995">
      <c r="A995" s="25" t="n"/>
      <c r="B995" s="24" t="n"/>
      <c r="C995" s="26" t="n"/>
      <c r="D995" s="24" t="n"/>
      <c r="E995" s="30" t="n"/>
      <c r="F995" s="31">
        <f>IF(A995="","",A995-MOD(WEEKDAY(A995),7))</f>
        <v/>
      </c>
    </row>
    <row r="996">
      <c r="A996" s="25" t="n"/>
      <c r="B996" s="24" t="n"/>
      <c r="C996" s="26" t="n"/>
      <c r="D996" s="24" t="n"/>
      <c r="E996" s="30" t="n"/>
      <c r="F996" s="31">
        <f>IF(A996="","",A996-MOD(WEEKDAY(A996),7))</f>
        <v/>
      </c>
    </row>
    <row r="997">
      <c r="A997" s="25" t="n"/>
      <c r="B997" s="24" t="n"/>
      <c r="C997" s="26" t="n"/>
      <c r="D997" s="24" t="n"/>
      <c r="E997" s="30" t="n"/>
      <c r="F997" s="31">
        <f>IF(A997="","",A997-MOD(WEEKDAY(A997),7))</f>
        <v/>
      </c>
    </row>
    <row r="998">
      <c r="A998" s="25" t="n"/>
      <c r="B998" s="24" t="n"/>
      <c r="C998" s="26" t="n"/>
      <c r="D998" s="24" t="n"/>
      <c r="E998" s="30" t="n"/>
      <c r="F998" s="31">
        <f>IF(A998="","",A998-MOD(WEEKDAY(A998),7))</f>
        <v/>
      </c>
    </row>
    <row r="999">
      <c r="A999" s="25" t="n"/>
      <c r="B999" s="24" t="n"/>
      <c r="C999" s="26" t="n"/>
      <c r="D999" s="24" t="n"/>
      <c r="E999" s="30" t="n"/>
      <c r="F999" s="31">
        <f>IF(A999="","",A999-MOD(WEEKDAY(A999),7))</f>
        <v/>
      </c>
    </row>
    <row r="1000">
      <c r="A1000" s="25" t="n"/>
      <c r="B1000" s="24" t="n"/>
      <c r="C1000" s="26" t="n"/>
      <c r="D1000" s="24" t="n"/>
      <c r="E1000" s="30" t="n"/>
      <c r="F1000" s="31">
        <f>IF(A1000="","",A1000-MOD(WEEKDAY(A1000),7))</f>
        <v/>
      </c>
    </row>
    <row r="1001">
      <c r="A1001" s="25" t="n"/>
      <c r="B1001" s="24" t="n"/>
      <c r="C1001" s="26" t="n"/>
      <c r="D1001" s="24" t="n"/>
      <c r="E1001" s="30" t="n"/>
      <c r="F1001" s="31">
        <f>IF(A1001="","",A1001-MOD(WEEKDAY(A1001),7))</f>
        <v/>
      </c>
    </row>
    <row r="1002">
      <c r="A1002" s="25" t="n"/>
      <c r="B1002" s="24" t="n"/>
      <c r="C1002" s="26" t="n"/>
      <c r="D1002" s="24" t="n"/>
      <c r="E1002" s="30" t="n"/>
      <c r="F1002" s="31">
        <f>IF(A1002="","",A1002-MOD(WEEKDAY(A1002),7))</f>
        <v/>
      </c>
    </row>
    <row r="1003">
      <c r="A1003" s="25" t="n"/>
      <c r="B1003" s="24" t="n"/>
      <c r="C1003" s="26" t="n"/>
      <c r="D1003" s="24" t="n"/>
      <c r="E1003" s="30" t="n"/>
      <c r="F1003" s="31">
        <f>IF(A1003="","",A1003-MOD(WEEKDAY(A1003),7))</f>
        <v/>
      </c>
    </row>
    <row r="1004">
      <c r="A1004" s="25" t="n"/>
      <c r="B1004" s="24" t="n"/>
      <c r="C1004" s="26" t="n"/>
      <c r="D1004" s="24" t="n"/>
      <c r="E1004" s="30" t="n"/>
      <c r="F1004" s="31">
        <f>IF(A1004="","",A1004-MOD(WEEKDAY(A1004),7))</f>
        <v/>
      </c>
    </row>
  </sheetData>
  <autoFilter ref="A4:F1004"/>
  <conditionalFormatting sqref="E5:E1004">
    <cfRule type="colorScale" priority="1">
      <colorScale>
        <cfvo type="num" val="1"/>
        <cfvo type="num" val="3"/>
        <cfvo type="num" val="5"/>
        <color rgb="00FEE2E2"/>
        <color rgb="00FEF3C7"/>
        <color rgb="00D1FAE5"/>
      </colorScale>
    </cfRule>
  </conditionalFormatting>
  <dataValidations count="3">
    <dataValidation sqref="B5:B1004" showDropDown="0" showInputMessage="0" showErrorMessage="0" allowBlank="1" error="Pick a subject from the list (add subjects on the Subjects sheet)." type="list">
      <formula1>=Subjects</formula1>
    </dataValidation>
    <dataValidation sqref="C5:C1004" showDropDown="0" showInputMessage="0" showErrorMessage="0" allowBlank="1" error="Minutes between 1 and 1440." type="whole" operator="between">
      <formula1>1</formula1>
      <formula2>1440</formula2>
    </dataValidation>
    <dataValidation sqref="E5:E1004" showDropDown="0" showInputMessage="0" showErrorMessage="0" allowBlank="1" error="Focus from 1 (distracted) to 5 (deep focus).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Weekly timetable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Plan your week  ·  الجدول الأسبوعي</t>
        </is>
      </c>
      <c r="B2" s="2" t="n"/>
      <c r="C2" s="2" t="n"/>
      <c r="D2" s="2" t="n"/>
      <c r="E2" s="2" t="n"/>
      <c r="F2" s="2" t="n"/>
      <c r="G2" s="2" t="n"/>
      <c r="H2" s="2" t="n"/>
    </row>
    <row r="4" ht="24" customHeight="1">
      <c r="A4" s="20" t="inlineStr">
        <is>
          <t>Time</t>
        </is>
      </c>
      <c r="B4" s="20" t="inlineStr">
        <is>
          <t>Saturday</t>
        </is>
      </c>
      <c r="C4" s="20" t="inlineStr">
        <is>
          <t>Sunday</t>
        </is>
      </c>
      <c r="D4" s="20" t="inlineStr">
        <is>
          <t>Monday</t>
        </is>
      </c>
      <c r="E4" s="20" t="inlineStr">
        <is>
          <t>Tuesday</t>
        </is>
      </c>
      <c r="F4" s="20" t="inlineStr">
        <is>
          <t>Wednesday</t>
        </is>
      </c>
      <c r="G4" s="20" t="inlineStr">
        <is>
          <t>Thursday</t>
        </is>
      </c>
      <c r="H4" s="20" t="inlineStr">
        <is>
          <t>Friday</t>
        </is>
      </c>
    </row>
    <row r="5" ht="24" customHeight="1">
      <c r="A5" s="32" t="inlineStr">
        <is>
          <t>08:00</t>
        </is>
      </c>
      <c r="B5" s="33" t="n"/>
      <c r="C5" s="33" t="inlineStr">
        <is>
          <t>Mathematics</t>
        </is>
      </c>
      <c r="D5" s="33" t="n"/>
      <c r="E5" s="33" t="inlineStr">
        <is>
          <t>Physics</t>
        </is>
      </c>
      <c r="F5" s="33" t="n"/>
      <c r="G5" s="33" t="n"/>
      <c r="H5" s="33" t="n"/>
    </row>
    <row r="6" ht="24" customHeight="1">
      <c r="A6" s="32" t="inlineStr">
        <is>
          <t>09:00</t>
        </is>
      </c>
      <c r="B6" s="33" t="inlineStr">
        <is>
          <t>Chemistry</t>
        </is>
      </c>
      <c r="C6" s="33" t="n"/>
      <c r="D6" s="33" t="n"/>
      <c r="E6" s="33" t="n"/>
      <c r="F6" s="33" t="n"/>
      <c r="G6" s="33" t="n"/>
      <c r="H6" s="33" t="n"/>
    </row>
    <row r="7" ht="24" customHeight="1">
      <c r="A7" s="32" t="inlineStr">
        <is>
          <t>10:00</t>
        </is>
      </c>
      <c r="B7" s="33" t="n"/>
      <c r="C7" s="33" t="n"/>
      <c r="D7" s="33" t="n"/>
      <c r="E7" s="33" t="n"/>
      <c r="F7" s="33" t="n"/>
      <c r="G7" s="33" t="n"/>
      <c r="H7" s="33" t="n"/>
    </row>
    <row r="8" ht="24" customHeight="1">
      <c r="A8" s="32" t="inlineStr">
        <is>
          <t>11:00</t>
        </is>
      </c>
      <c r="B8" s="33" t="n"/>
      <c r="C8" s="33" t="n"/>
      <c r="D8" s="33" t="n"/>
      <c r="E8" s="33" t="n"/>
      <c r="F8" s="33" t="n"/>
      <c r="G8" s="33" t="n"/>
      <c r="H8" s="33" t="n"/>
    </row>
    <row r="9" ht="24" customHeight="1">
      <c r="A9" s="32" t="inlineStr">
        <is>
          <t>12:00</t>
        </is>
      </c>
      <c r="B9" s="33" t="n"/>
      <c r="C9" s="33" t="n"/>
      <c r="D9" s="33" t="n"/>
      <c r="E9" s="33" t="n"/>
      <c r="F9" s="33" t="n"/>
      <c r="G9" s="33" t="n"/>
      <c r="H9" s="33" t="n"/>
    </row>
    <row r="10" ht="24" customHeight="1">
      <c r="A10" s="32" t="inlineStr">
        <is>
          <t>13:00</t>
        </is>
      </c>
      <c r="B10" s="33" t="n"/>
      <c r="C10" s="33" t="n"/>
      <c r="D10" s="33" t="n"/>
      <c r="E10" s="33" t="n"/>
      <c r="F10" s="33" t="n"/>
      <c r="G10" s="33" t="n"/>
      <c r="H10" s="33" t="n"/>
    </row>
    <row r="11" ht="24" customHeight="1">
      <c r="A11" s="32" t="inlineStr">
        <is>
          <t>14:00</t>
        </is>
      </c>
      <c r="B11" s="33" t="n"/>
      <c r="C11" s="33" t="n"/>
      <c r="D11" s="33" t="n"/>
      <c r="E11" s="33" t="n"/>
      <c r="F11" s="33" t="n"/>
      <c r="G11" s="33" t="n"/>
      <c r="H11" s="33" t="n"/>
    </row>
    <row r="12" ht="24" customHeight="1">
      <c r="A12" s="32" t="inlineStr">
        <is>
          <t>15:00</t>
        </is>
      </c>
      <c r="B12" s="33" t="n"/>
      <c r="C12" s="33" t="n"/>
      <c r="D12" s="33" t="n"/>
      <c r="E12" s="33" t="n"/>
      <c r="F12" s="33" t="n"/>
      <c r="G12" s="33" t="n"/>
      <c r="H12" s="33" t="n"/>
    </row>
    <row r="13" ht="24" customHeight="1">
      <c r="A13" s="32" t="inlineStr">
        <is>
          <t>16:00</t>
        </is>
      </c>
      <c r="B13" s="33" t="n"/>
      <c r="C13" s="33" t="n"/>
      <c r="D13" s="33" t="n"/>
      <c r="E13" s="33" t="n"/>
      <c r="F13" s="33" t="n"/>
      <c r="G13" s="33" t="n"/>
      <c r="H13" s="33" t="n"/>
    </row>
    <row r="14" ht="24" customHeight="1">
      <c r="A14" s="32" t="inlineStr">
        <is>
          <t>17:00</t>
        </is>
      </c>
      <c r="B14" s="33" t="n"/>
      <c r="C14" s="33" t="n"/>
      <c r="D14" s="33" t="n"/>
      <c r="E14" s="33" t="n"/>
      <c r="F14" s="33" t="n"/>
      <c r="G14" s="33" t="n"/>
      <c r="H14" s="33" t="n"/>
    </row>
    <row r="15" ht="24" customHeight="1">
      <c r="A15" s="32" t="inlineStr">
        <is>
          <t>18:00</t>
        </is>
      </c>
      <c r="B15" s="33" t="n"/>
      <c r="C15" s="33" t="n"/>
      <c r="D15" s="33" t="n"/>
      <c r="E15" s="33" t="n"/>
      <c r="F15" s="33" t="n"/>
      <c r="G15" s="33" t="n"/>
      <c r="H15" s="33" t="n"/>
    </row>
    <row r="16" ht="24" customHeight="1">
      <c r="A16" s="32" t="inlineStr">
        <is>
          <t>19:00</t>
        </is>
      </c>
      <c r="B16" s="33" t="n"/>
      <c r="C16" s="33" t="n"/>
      <c r="D16" s="33" t="n"/>
      <c r="E16" s="33" t="n"/>
      <c r="F16" s="33" t="n"/>
      <c r="G16" s="33" t="n"/>
      <c r="H16" s="33" t="n"/>
    </row>
    <row r="17" ht="24" customHeight="1">
      <c r="A17" s="32" t="inlineStr">
        <is>
          <t>20:00</t>
        </is>
      </c>
      <c r="B17" s="33" t="n"/>
      <c r="C17" s="33" t="n"/>
      <c r="D17" s="33" t="n"/>
      <c r="E17" s="33" t="n"/>
      <c r="F17" s="33" t="n"/>
      <c r="G17" s="33" t="n"/>
      <c r="H17" s="33" t="n"/>
    </row>
    <row r="18" ht="24" customHeight="1">
      <c r="A18" s="32" t="inlineStr">
        <is>
          <t>21:00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4" customHeight="1">
      <c r="A19" s="32" t="inlineStr">
        <is>
          <t>22:00</t>
        </is>
      </c>
      <c r="B19" s="33" t="n"/>
      <c r="C19" s="33" t="n"/>
      <c r="D19" s="33" t="n"/>
      <c r="E19" s="33" t="n"/>
      <c r="F19" s="33" t="n"/>
      <c r="G19" s="33" t="n"/>
      <c r="H19" s="33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2026-10-23T00:33:31Z</dcterms:created>
  <dcterms:modified xmlns:dcterms="http://purl.org/dc/terms/" xmlns:xsi="http://www.w3.org/2001/XMLSchema-instance" xsi:type="dcterms:W3CDTF">2026-10-23T00:33:32Z</dcterms:modified>
</cp:coreProperties>
</file>